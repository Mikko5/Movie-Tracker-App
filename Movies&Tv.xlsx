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/>
  <xr:revisionPtr revIDLastSave="0" documentId="13_ncr:1_{6C9FABBA-FACC-4983-9C45-ACD0880938A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ovie List" sheetId="1" r:id="rId1"/>
    <sheet name="Tv_show_Lis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3" i="1" l="1"/>
  <c r="M53" i="1"/>
  <c r="M52" i="1"/>
  <c r="N50" i="3"/>
  <c r="N49" i="3"/>
  <c r="M51" i="1"/>
  <c r="M50" i="1"/>
  <c r="M49" i="1"/>
  <c r="M48" i="1"/>
  <c r="N48" i="3"/>
  <c r="N47" i="3"/>
  <c r="N46" i="3"/>
  <c r="M47" i="1"/>
  <c r="M46" i="1"/>
  <c r="N45" i="3"/>
  <c r="M45" i="1"/>
  <c r="N44" i="3"/>
  <c r="M44" i="1"/>
  <c r="M43" i="1"/>
  <c r="N43" i="3"/>
  <c r="M42" i="1"/>
  <c r="M41" i="1"/>
  <c r="M40" i="1"/>
  <c r="B42" i="3"/>
  <c r="B43" i="3" s="1"/>
  <c r="B44" i="3" s="1"/>
  <c r="B45" i="3" s="1"/>
  <c r="B46" i="3" s="1"/>
  <c r="B47" i="3" s="1"/>
  <c r="B48" i="3" s="1"/>
  <c r="B49" i="3" s="1"/>
  <c r="B50" i="3" s="1"/>
  <c r="N42" i="3"/>
  <c r="M39" i="1"/>
  <c r="M38" i="1"/>
  <c r="N38" i="3"/>
  <c r="M37" i="1"/>
  <c r="M36" i="1"/>
  <c r="N40" i="3"/>
  <c r="N39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M33" i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2" i="3"/>
  <c r="B3" i="3" s="1"/>
  <c r="M35" i="1"/>
  <c r="M34" i="1"/>
  <c r="M32" i="1" l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2" i="1"/>
  <c r="M3" i="1"/>
  <c r="C51" i="3" l="1"/>
  <c r="B33" i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2" i="1" l="1"/>
  <c r="B3" i="1" s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8" i="3"/>
  <c r="B39" i="3" s="1"/>
  <c r="B40" i="3" s="1"/>
</calcChain>
</file>

<file path=xl/sharedStrings.xml><?xml version="1.0" encoding="utf-8"?>
<sst xmlns="http://schemas.openxmlformats.org/spreadsheetml/2006/main" count="413" uniqueCount="231">
  <si>
    <t>NO.</t>
  </si>
  <si>
    <t>YEAR</t>
  </si>
  <si>
    <t>TITLE</t>
  </si>
  <si>
    <t>DIRECTOR</t>
  </si>
  <si>
    <t>GENRE</t>
  </si>
  <si>
    <t>FORMAT</t>
  </si>
  <si>
    <t>COMMENTS</t>
  </si>
  <si>
    <t>REVIEW</t>
  </si>
  <si>
    <t>Total</t>
  </si>
  <si>
    <t>Netflix</t>
  </si>
  <si>
    <t>Runtime</t>
  </si>
  <si>
    <t>DATE</t>
  </si>
  <si>
    <t>REWATCH</t>
  </si>
  <si>
    <t>The Guilty</t>
  </si>
  <si>
    <t>Antoine Fuqua</t>
  </si>
  <si>
    <t>Thriller/Crime</t>
  </si>
  <si>
    <t>Film speelt zich af in een kamer; ik zat niet echt goed op te letten</t>
  </si>
  <si>
    <t>Godzilla vs. Kong</t>
  </si>
  <si>
    <t>Adam Wingard</t>
  </si>
  <si>
    <t>HBO</t>
  </si>
  <si>
    <t>Goede actie maar verhaal is minder</t>
  </si>
  <si>
    <t>SEASON</t>
  </si>
  <si>
    <t>FINISH DATE</t>
  </si>
  <si>
    <t>START DATE</t>
  </si>
  <si>
    <t>Disney+</t>
  </si>
  <si>
    <t>The Bear</t>
  </si>
  <si>
    <t>EPISODES</t>
  </si>
  <si>
    <t>Everything Everywhere All at Once</t>
  </si>
  <si>
    <t>Dan Kwan &amp; Daniel Scheinert</t>
  </si>
  <si>
    <t>Prime</t>
  </si>
  <si>
    <t>leuk</t>
  </si>
  <si>
    <t>Logan</t>
  </si>
  <si>
    <t>James Mangold</t>
  </si>
  <si>
    <t>Ford v Ferrari</t>
  </si>
  <si>
    <t>Drama/Sport</t>
  </si>
  <si>
    <t>De race was goed</t>
  </si>
  <si>
    <t>Goede film. Actie en verhaal waren goed. Badguy minder sterk</t>
  </si>
  <si>
    <t>Dream school</t>
  </si>
  <si>
    <t>Reality</t>
  </si>
  <si>
    <t>Online</t>
  </si>
  <si>
    <t>Wekelijks</t>
  </si>
  <si>
    <t xml:space="preserve">Severance </t>
  </si>
  <si>
    <t>Drama/Mystery/Sci-Fi</t>
  </si>
  <si>
    <t>Chad Stahelski</t>
  </si>
  <si>
    <t>X</t>
  </si>
  <si>
    <t>zeer goed</t>
  </si>
  <si>
    <t>game of thrones</t>
  </si>
  <si>
    <t>Action/Adventure/
Drama</t>
  </si>
  <si>
    <t>Wie is de mol</t>
  </si>
  <si>
    <t>The Last of Us</t>
  </si>
  <si>
    <t>Animation/Action/Adventure</t>
  </si>
  <si>
    <t>Nathan for You</t>
  </si>
  <si>
    <t>Documentary/Comedy</t>
  </si>
  <si>
    <t>LOL: Last One Laughing Netherlands</t>
  </si>
  <si>
    <t>Reality/Comedy</t>
  </si>
  <si>
    <t>My hero academia</t>
  </si>
  <si>
    <t>my hero academia world heroes' mission</t>
  </si>
  <si>
    <t>Reality-TV</t>
  </si>
  <si>
    <t>NPOstart</t>
  </si>
  <si>
    <t>TV</t>
  </si>
  <si>
    <t>drive to survive</t>
  </si>
  <si>
    <t>Documentary/Sport</t>
  </si>
  <si>
    <t>12 Monkeys</t>
  </si>
  <si>
    <t>Adventure/Drama/Mystery</t>
  </si>
  <si>
    <t>Peaky Blinders</t>
  </si>
  <si>
    <t>Crime/Drama</t>
  </si>
  <si>
    <t>de mol BE</t>
  </si>
  <si>
    <t>John Wick 2</t>
  </si>
  <si>
    <t>John Wick</t>
  </si>
  <si>
    <t xml:space="preserve"> Chad Stahelski</t>
  </si>
  <si>
    <t>actie actie en nog meer actie</t>
  </si>
  <si>
    <t>John Wick 3</t>
  </si>
  <si>
    <t>The Fast and the Furious</t>
  </si>
  <si>
    <t>Rob Cohen</t>
  </si>
  <si>
    <t>Kenji Nagasaki</t>
  </si>
  <si>
    <t>Action/Adventure/Comedy</t>
  </si>
  <si>
    <t>Action/Drama/Sci-fi</t>
  </si>
  <si>
    <t>Action/Sci-fi/Thriller</t>
  </si>
  <si>
    <t>Action/Crime/Thriller</t>
  </si>
  <si>
    <t>John Wick 4</t>
  </si>
  <si>
    <t>Bioscoop</t>
  </si>
  <si>
    <t>Blue Lock</t>
  </si>
  <si>
    <t xml:space="preserve"> Action/Drama/Sports </t>
  </si>
  <si>
    <t xml:space="preserve">Wekelijks </t>
  </si>
  <si>
    <t>Yellowjackets</t>
  </si>
  <si>
    <t>Drama/Horror/Mystery</t>
  </si>
  <si>
    <t>Barry</t>
  </si>
  <si>
    <t>Action/Comedy/Crime</t>
  </si>
  <si>
    <t>Mr. Robot</t>
  </si>
  <si>
    <t>Crime/Drama/Thriller</t>
  </si>
  <si>
    <t>The Super Mario Bros. Movie</t>
  </si>
  <si>
    <t>Aaron Horvath &amp; Michael Jelenic</t>
  </si>
  <si>
    <t>Animation/Adventure/Comedy</t>
  </si>
  <si>
    <t>guardians of the galaxy 3</t>
  </si>
  <si>
    <t>James Gunn</t>
  </si>
  <si>
    <t>Ant-Man and the Wasp: Quantumania</t>
  </si>
  <si>
    <t>Peyton Reed</t>
  </si>
  <si>
    <t>Attack on Titan</t>
  </si>
  <si>
    <t>Final Season Part 2</t>
  </si>
  <si>
    <t>The Menu</t>
  </si>
  <si>
    <t>Mark Mylod</t>
  </si>
  <si>
    <t xml:space="preserve">Comedy/Horror/Thriller </t>
  </si>
  <si>
    <t>beetje door heen geskipt</t>
  </si>
  <si>
    <t>Spider-Man: Across the Spider-Verse</t>
  </si>
  <si>
    <t>Joaquim Dos Santos &amp; Kemp Powers &amp; justin k thompson</t>
  </si>
  <si>
    <t>tree</t>
  </si>
  <si>
    <t>Dark</t>
  </si>
  <si>
    <t>Crime/Drama/Mystery</t>
  </si>
  <si>
    <t>Mission: Impossible - Dead Reckoning Part One</t>
  </si>
  <si>
    <t>Christopher McQuarrie</t>
  </si>
  <si>
    <t>Action/Adventure/Thriller</t>
  </si>
  <si>
    <t>The Flash</t>
  </si>
  <si>
    <t>Andy Muschietti</t>
  </si>
  <si>
    <t>Action/Adventure/Fantasy</t>
  </si>
  <si>
    <t>Silo</t>
  </si>
  <si>
    <t>Gran Turismo</t>
  </si>
  <si>
    <t>Neill Blomkamp</t>
  </si>
  <si>
    <t>Action/Adventure/Drama</t>
  </si>
  <si>
    <t>Dictator</t>
  </si>
  <si>
    <t>Solar Opposites</t>
  </si>
  <si>
    <t>Animation/Adventure/
Comedy</t>
  </si>
  <si>
    <t>The Good Place</t>
  </si>
  <si>
    <t>Comedy/Drama/
Fantasy</t>
  </si>
  <si>
    <t>Gen V</t>
  </si>
  <si>
    <t>Game of Thrones</t>
  </si>
  <si>
    <t>Action/Adventure/
Comedy</t>
  </si>
  <si>
    <t>Saw</t>
  </si>
  <si>
    <t>Horror/Mystery/Thriller</t>
  </si>
  <si>
    <t>James Wan</t>
  </si>
  <si>
    <t>Saw 2</t>
  </si>
  <si>
    <t>Darren Lynn Bousman</t>
  </si>
  <si>
    <t>Rick and Morty</t>
  </si>
  <si>
    <t>Hunted</t>
  </si>
  <si>
    <t xml:space="preserve">invincible </t>
  </si>
  <si>
    <t>Saw X</t>
  </si>
  <si>
    <t>Kevin Greutert</t>
  </si>
  <si>
    <t>The Wire</t>
  </si>
  <si>
    <t xml:space="preserve">Nightcrawler </t>
  </si>
  <si>
    <t>Dan Gilroy</t>
  </si>
  <si>
    <t>Brawn: The Impossible Formula 1 Story</t>
  </si>
  <si>
    <t>The Departed</t>
  </si>
  <si>
    <t>Martin Scorsese</t>
  </si>
  <si>
    <t>shrek</t>
  </si>
  <si>
    <t>Andrew Adamson &amp; 
Vicky Jenson</t>
  </si>
  <si>
    <t>Documentary/sport</t>
  </si>
  <si>
    <t>Paddington</t>
  </si>
  <si>
    <t>Paul King</t>
  </si>
  <si>
    <t>Adventure/Comedy/Family</t>
  </si>
  <si>
    <t xml:space="preserve">Arrival
</t>
  </si>
  <si>
    <t>Denis Villeneuve</t>
  </si>
  <si>
    <t>The Talented Mr. Ripley</t>
  </si>
  <si>
    <t>Anthony Minghella</t>
  </si>
  <si>
    <t>The Covenant</t>
  </si>
  <si>
    <t>Guy Ritchie</t>
  </si>
  <si>
    <t>Action/Drama/Thriller</t>
  </si>
  <si>
    <t>Predestination</t>
  </si>
  <si>
    <t>Michael Spierig &amp; Peter Spierig</t>
  </si>
  <si>
    <t>21 Jump Street</t>
  </si>
  <si>
    <t>Phil Lord &amp; Christopher Miller</t>
  </si>
  <si>
    <t>reality/adventure</t>
  </si>
  <si>
    <t>Captains of the World</t>
  </si>
  <si>
    <t>Comedy/Drama</t>
  </si>
  <si>
    <t>Animation/Action/
Adventure</t>
  </si>
  <si>
    <t>Start datum klopt niet, maar was voor the bear</t>
  </si>
  <si>
    <t>The Prestige</t>
  </si>
  <si>
    <t>Christopher Nolan</t>
  </si>
  <si>
    <t>Triangle of Sadness</t>
  </si>
  <si>
    <t>Ruben Östlund</t>
  </si>
  <si>
    <t>comedy/Drama</t>
  </si>
  <si>
    <t>Extraction 2</t>
  </si>
  <si>
    <t>Sam Hargrave</t>
  </si>
  <si>
    <t>Action/Thriller</t>
  </si>
  <si>
    <t>True detective</t>
  </si>
  <si>
    <t>Ted</t>
  </si>
  <si>
    <t>Comedy</t>
  </si>
  <si>
    <t>society of the snow</t>
  </si>
  <si>
    <t>Juan Antonio Bayona</t>
  </si>
  <si>
    <t>Adventure/Drama/History</t>
  </si>
  <si>
    <t>The Grand Budapest Hotel</t>
  </si>
  <si>
    <t>Wes Anderson</t>
  </si>
  <si>
    <t>Adventure/Comedy/Crime</t>
  </si>
  <si>
    <t>Everest</t>
  </si>
  <si>
    <t>Baltasar Kormákur</t>
  </si>
  <si>
    <t>Action/Adventure/biography</t>
  </si>
  <si>
    <t>Lady Bird</t>
  </si>
  <si>
    <t>Greta Gerwig</t>
  </si>
  <si>
    <t>Slow Horses</t>
  </si>
  <si>
    <t>Drama/Thriller</t>
  </si>
  <si>
    <t>Wonka</t>
  </si>
  <si>
    <t>The Beekeeper</t>
  </si>
  <si>
    <t>Action/Triller</t>
  </si>
  <si>
    <t>David Ayer</t>
  </si>
  <si>
    <t>Fight Club</t>
  </si>
  <si>
    <t>David Fincher</t>
  </si>
  <si>
    <t>Drama</t>
  </si>
  <si>
    <t>Arrested Development</t>
  </si>
  <si>
    <t>Drive</t>
  </si>
  <si>
    <t>Nicolas Winding Refn</t>
  </si>
  <si>
    <t>Drama/Thriller/Crime</t>
  </si>
  <si>
    <t>A Simple Favor</t>
  </si>
  <si>
    <t>Paul Feig</t>
  </si>
  <si>
    <t>Crime/Thriller/Mystery/Comedy</t>
  </si>
  <si>
    <t>shogun</t>
  </si>
  <si>
    <t>Dune</t>
  </si>
  <si>
    <t>Science Fiction/Adventure</t>
  </si>
  <si>
    <t>Ricky Stanicky</t>
  </si>
  <si>
    <t>Peter Farrelly</t>
  </si>
  <si>
    <t>gestopt na 3 afleverigen</t>
  </si>
  <si>
    <t>Back to the Future</t>
  </si>
  <si>
    <t>Robert Zemeckis</t>
  </si>
  <si>
    <t>Adventure/Comedy/Science Fiction</t>
  </si>
  <si>
    <t>cd source\repos\Projects\Get-Movies-Info</t>
  </si>
  <si>
    <t>python main.py</t>
  </si>
  <si>
    <t>Heavenly Delusion</t>
  </si>
  <si>
    <t>Animation/Adventure/
Mystery</t>
  </si>
  <si>
    <t>Fallout</t>
  </si>
  <si>
    <t>The Maze Runner</t>
  </si>
  <si>
    <t>Wes Ball</t>
  </si>
  <si>
    <t>Action/Mystery/Science Fiction/Thriller</t>
  </si>
  <si>
    <t>Dune: Part Two</t>
  </si>
  <si>
    <t>Kingdom of the Planet of the Apes</t>
  </si>
  <si>
    <t>Science Fiction/Adventure/Action</t>
  </si>
  <si>
    <t>IGN prijsvraag; pathe arena</t>
  </si>
  <si>
    <t>Maze Runner: The Scorch Trials</t>
  </si>
  <si>
    <t>Science Fiction/Action/Thriller/Adventure</t>
  </si>
  <si>
    <t>Civil War</t>
  </si>
  <si>
    <t>Alex Garland</t>
  </si>
  <si>
    <t>War/Action/Drama</t>
  </si>
  <si>
    <t>The Fall Guy</t>
  </si>
  <si>
    <t>David Leitch</t>
  </si>
  <si>
    <t>Action/Comedy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</si>
</sst>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h:mm;@"/>
    <numFmt numFmtId="165" formatCode="[h]:mm:ss;@"/>
  </numFmts>
  <fonts count="11" x14ac:knownFonts="1">
    <font>
      <sz val="11"/>
      <color theme="0"/>
      <name val="Franklin Gothic Medium"/>
      <family val="2"/>
      <scheme val="minor"/>
    </font>
    <font>
      <sz val="12"/>
      <color theme="3"/>
      <name val="Franklin Gothic Medium"/>
      <family val="2"/>
      <scheme val="minor"/>
    </font>
    <font>
      <sz val="11"/>
      <color theme="3"/>
      <name val="Franklin Gothic Medium"/>
      <family val="2"/>
      <scheme val="minor"/>
    </font>
    <font>
      <sz val="11"/>
      <color theme="0"/>
      <name val="Franklin Gothic Medium"/>
      <family val="2"/>
      <scheme val="minor"/>
    </font>
    <font>
      <b/>
      <sz val="11"/>
      <color theme="3"/>
      <name val="Franklin Gothic Medium"/>
      <family val="2"/>
      <scheme val="minor"/>
    </font>
    <font>
      <sz val="14"/>
      <color theme="0"/>
      <name val="Franklin Gothic Medium"/>
      <family val="2"/>
      <scheme val="major"/>
    </font>
    <font>
      <sz val="12"/>
      <color theme="0"/>
      <name val="Franklin Gothic Medium"/>
      <family val="2"/>
      <scheme val="minor"/>
    </font>
    <font>
      <sz val="8"/>
      <name val="Franklin Gothic Medium"/>
      <family val="2"/>
      <scheme val="minor"/>
    </font>
    <font>
      <u/>
      <sz val="11"/>
      <color theme="10"/>
      <name val="Franklin Gothic Medium"/>
      <family val="2"/>
      <scheme val="minor"/>
    </font>
    <font>
      <sz val="11"/>
      <color theme="2"/>
      <name val="Franklin Gothic Medium"/>
      <family val="2"/>
      <scheme val="minor"/>
    </font>
    <font>
      <sz val="12"/>
      <color theme="2"/>
      <name val="Franklin Gothic Medium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149967955565050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8">
    <xf numFmtId="0" fontId="0" fillId="2" borderId="0">
      <alignment horizontal="left" vertical="center" wrapText="1"/>
    </xf>
    <xf numFmtId="0" fontId="1" fillId="0" borderId="1" applyNumberFormat="0" applyFill="0" applyProtection="0"/>
    <xf numFmtId="0" fontId="2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3" fillId="2" borderId="0">
      <alignment horizontal="left" vertical="center" wrapText="1" indent="1"/>
    </xf>
    <xf numFmtId="0" fontId="5" fillId="0" borderId="0" applyNumberFormat="0" applyFill="0" applyBorder="0" applyAlignment="0" applyProtection="0"/>
    <xf numFmtId="0" fontId="8" fillId="2" borderId="0" applyNumberFormat="0" applyFill="0" applyBorder="0" applyAlignment="0" applyProtection="0">
      <alignment horizontal="left" vertical="center" wrapText="1"/>
    </xf>
  </cellStyleXfs>
  <cellXfs count="27">
    <xf numFmtId="0" fontId="0" fillId="2" borderId="0" xfId="0">
      <alignment horizontal="left" vertical="center" wrapText="1"/>
    </xf>
    <xf numFmtId="0" fontId="6" fillId="2" borderId="0" xfId="1" applyFont="1" applyFill="1" applyBorder="1"/>
    <xf numFmtId="0" fontId="0" fillId="2" borderId="0" xfId="0" applyAlignment="1">
      <alignment horizontal="center" vertical="center" wrapText="1"/>
    </xf>
    <xf numFmtId="0" fontId="0" fillId="2" borderId="0" xfId="0" applyBorder="1">
      <alignment horizontal="left" vertical="center" wrapText="1"/>
    </xf>
    <xf numFmtId="0" fontId="0" fillId="2" borderId="0" xfId="0" applyNumberFormat="1" applyFont="1" applyFill="1" applyBorder="1" applyAlignment="1" applyProtection="1">
      <alignment horizontal="left" vertical="center" wrapText="1"/>
    </xf>
    <xf numFmtId="14" fontId="0" fillId="2" borderId="0" xfId="0" applyNumberFormat="1" applyBorder="1">
      <alignment horizontal="left" vertical="center" wrapText="1"/>
    </xf>
    <xf numFmtId="164" fontId="0" fillId="2" borderId="0" xfId="0" applyNumberFormat="1">
      <alignment horizontal="left" vertical="center" wrapText="1"/>
    </xf>
    <xf numFmtId="0" fontId="0" fillId="2" borderId="0" xfId="0" applyBorder="1" applyAlignment="1">
      <alignment horizontal="left" vertical="center" wrapText="1"/>
    </xf>
    <xf numFmtId="164" fontId="0" fillId="2" borderId="0" xfId="0" applyNumberFormat="1" applyBorder="1" applyAlignment="1">
      <alignment horizontal="left" vertical="center" wrapText="1"/>
    </xf>
    <xf numFmtId="14" fontId="0" fillId="2" borderId="0" xfId="0" applyNumberFormat="1" applyBorder="1" applyAlignment="1">
      <alignment horizontal="center" vertical="center" wrapText="1"/>
    </xf>
    <xf numFmtId="14" fontId="0" fillId="2" borderId="0" xfId="0" applyNumberFormat="1">
      <alignment horizontal="left" vertical="center" wrapText="1"/>
    </xf>
    <xf numFmtId="14" fontId="0" fillId="2" borderId="0" xfId="0" applyNumberFormat="1" applyFont="1" applyFill="1" applyBorder="1" applyAlignment="1" applyProtection="1">
      <alignment horizontal="left" vertical="center" wrapText="1"/>
    </xf>
    <xf numFmtId="0" fontId="0" fillId="2" borderId="0" xfId="0" applyAlignment="1">
      <alignment horizontal="left" vertical="center" wrapText="1"/>
    </xf>
    <xf numFmtId="0" fontId="0" fillId="2" borderId="0" xfId="0" quotePrefix="1">
      <alignment horizontal="left" vertical="center" wrapText="1"/>
    </xf>
    <xf numFmtId="0" fontId="6" fillId="2" borderId="0" xfId="0" applyFont="1" applyFill="1" applyBorder="1" applyAlignment="1"/>
    <xf numFmtId="14" fontId="6" fillId="2" borderId="0" xfId="0" applyNumberFormat="1" applyFont="1" applyFill="1" applyBorder="1" applyAlignment="1"/>
    <xf numFmtId="165" fontId="0" fillId="2" borderId="0" xfId="0" applyNumberFormat="1" applyFont="1" applyFill="1" applyBorder="1" applyAlignment="1" applyProtection="1">
      <alignment horizontal="left" vertical="center" wrapText="1"/>
    </xf>
    <xf numFmtId="0" fontId="8" fillId="2" borderId="0" xfId="7">
      <alignment horizontal="left" vertical="center" wrapText="1"/>
    </xf>
    <xf numFmtId="0" fontId="9" fillId="2" borderId="0" xfId="7" applyFont="1">
      <alignment horizontal="left" vertical="center" wrapText="1"/>
    </xf>
    <xf numFmtId="0" fontId="10" fillId="2" borderId="0" xfId="0" applyFont="1" applyFill="1" applyBorder="1" applyAlignment="1"/>
    <xf numFmtId="0" fontId="9" fillId="2" borderId="0" xfId="0" applyFont="1">
      <alignment horizontal="left" vertical="center" wrapText="1"/>
    </xf>
    <xf numFmtId="0" fontId="9" fillId="2" borderId="0" xfId="0" applyNumberFormat="1" applyFont="1" applyFill="1" applyBorder="1" applyAlignment="1" applyProtection="1">
      <alignment horizontal="left" vertical="center" wrapText="1"/>
    </xf>
    <xf numFmtId="0" fontId="0" fillId="2" borderId="0" xfId="0" applyNumberFormat="1">
      <alignment horizontal="left" vertical="center" wrapText="1"/>
    </xf>
    <xf numFmtId="0" fontId="0" fillId="2" borderId="0" xfId="0" applyNumberFormat="1" applyBorder="1">
      <alignment horizontal="left" vertical="center" wrapText="1"/>
    </xf>
    <xf numFmtId="0" fontId="0" fillId="2" borderId="0" xfId="0" applyNumberFormat="1" applyBorder="1" applyAlignment="1">
      <alignment horizontal="left" vertical="center" wrapText="1"/>
    </xf>
    <xf numFmtId="0" fontId="0" fillId="2" borderId="0" xfId="0" applyNumberFormat="1" applyAlignment="1">
      <alignment horizontal="left" vertical="center" wrapText="1"/>
    </xf>
    <xf numFmtId="0" fontId="3" fillId="2" borderId="0" xfId="7" applyFont="1">
      <alignment horizontal="left" vertical="center" wrapText="1"/>
    </xf>
  </cellXfs>
  <cellStyles count="8">
    <cellStyle name="Actors" xfId="5" xr:uid="{00000000-0005-0000-0000-000001000000}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7" builtinId="8"/>
    <cellStyle name="Normal" xfId="0" builtinId="0" customBuiltin="1"/>
    <cellStyle name="Title" xfId="6" builtinId="15" customBuiltin="1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19" formatCode="d/m/yyyy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165" formatCode="[h]:mm:ss;@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19" formatCode="d/m/yyyy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19" formatCode="d/m/yyyy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Franklin Gothic Medium"/>
        <family val="2"/>
        <scheme val="minor"/>
      </font>
      <numFmt numFmtId="0" formatCode="General"/>
      <fill>
        <patternFill patternType="solid">
          <fgColor indexed="64"/>
          <bgColor theme="1" tint="0.14996795556505021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Franklin Gothic Medium"/>
        <family val="2"/>
        <scheme val="minor"/>
      </font>
    </dxf>
    <dxf>
      <numFmt numFmtId="0" formatCode="General"/>
      <alignment vertical="center" textRotation="0" indent="0" justifyLastLine="0" shrinkToFit="0" readingOrder="0"/>
    </dxf>
    <dxf>
      <numFmt numFmtId="0" formatCode="General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Franklin Gothic Medium"/>
        <family val="2"/>
        <scheme val="minor"/>
      </font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fill>
        <patternFill>
          <bgColor theme="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2" defaultTableStyle="Table Style 1" defaultPivotStyle="PivotStyleLight16">
    <tableStyle name="Table Style 1" pivot="0" count="0" xr9:uid="{1E710E2F-0D59-430F-8652-F6AACB7A3D81}"/>
    <tableStyle name="TableStyleLight8 2" pivot="0" count="9" xr9:uid="{6E0A26DF-3197-42CF-A191-664440D9DD74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  <tableStyleElement type="secondRowStripe" dxfId="33"/>
      <tableStyleElement type="firstColumnStripe" dxfId="32"/>
      <tableStyleElement type="secondColumnStrip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vieList" displayName="MovieList" ref="B1:M54" totalsRowCount="1" headerRowDxfId="30" dataDxfId="29" headerRowCellStyle="Heading 1">
  <autoFilter ref="B1:M53" xr:uid="{00000000-000C-0000-FFFF-FFFF00000000}">
    <filterColumn colId="8">
      <filters>
        <dateGroupItem year="2024" dateTimeGrouping="year"/>
      </filters>
    </filterColumn>
  </autoFilter>
  <sortState xmlns:xlrd2="http://schemas.microsoft.com/office/spreadsheetml/2017/richdata2" ref="B2:M33">
    <sortCondition ref="J1:J33"/>
  </sortState>
  <tableColumns count="12">
    <tableColumn id="1" xr3:uid="{00000000-0010-0000-0000-000001000000}" name="NO." dataDxfId="28" totalsRowDxfId="9">
      <calculatedColumnFormula>IF(ROW()=2, 1, IF(YEAR(J2) = YEAR(J1), B1+1, 1))</calculatedColumnFormula>
    </tableColumn>
    <tableColumn id="3" xr3:uid="{00000000-0010-0000-0000-000003000000}" name="TITLE" totalsRowDxfId="8"/>
    <tableColumn id="6" xr3:uid="{00000000-0010-0000-0000-000006000000}" name="DIRECTOR" totalsRowDxfId="7"/>
    <tableColumn id="2" xr3:uid="{00000000-0010-0000-0000-000002000000}" name="YEAR" totalsRowDxfId="6"/>
    <tableColumn id="15" xr3:uid="{00000000-0010-0000-0000-00000F000000}" name="REVIEW" totalsRowDxfId="5"/>
    <tableColumn id="11" xr3:uid="{00000000-0010-0000-0000-00000B000000}" name="GENRE" totalsRowDxfId="4"/>
    <tableColumn id="10" xr3:uid="{E23B7DB2-5927-4097-97AC-7095399FEFE1}" name="Runtime" totalsRowDxfId="3"/>
    <tableColumn id="8" xr3:uid="{00000000-0010-0000-0000-000008000000}" name="FORMAT" totalsRowDxfId="2"/>
    <tableColumn id="7" xr3:uid="{B52DE522-A170-47BE-B275-956A44087E60}" name="DATE" totalsRowDxfId="1"/>
    <tableColumn id="12" xr3:uid="{25DF1BDC-255C-40E5-AC27-B29DDC1429F5}" name="REWATCH" totalsRowDxfId="0"/>
    <tableColumn id="9" xr3:uid="{00000000-0010-0000-0000-000009000000}" name="COMMENTS"/>
    <tableColumn id="4" xr3:uid="{9FECA6CF-B648-4D2F-AE35-30C8C5F4A7F0}" name="Total" dataDxfId="27">
      <calculatedColumnFormula>ROW(M2) - 1</calculatedColumnFormula>
    </tableColumn>
  </tableColumns>
  <tableStyleInfo name="Table Style 1" showFirstColumn="1" showLastColumn="1" showRowStripes="1" showColumnStripes="1"/>
  <extLst>
    <ext xmlns:x14="http://schemas.microsoft.com/office/spreadsheetml/2009/9/main" uri="{504A1905-F514-4f6f-8877-14C23A59335A}">
      <x14:table altTextSummary="Movie List with rank/catalogue Number, Year, Title, Starring Actors, Director, Genre, Rating, Format, and Comments in this table. Select Review for each movi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FB55F83-47FE-4D1E-A224-019B96235B76}" name="MovieList14" displayName="MovieList14" ref="B1:N51" totalsRowCount="1" headerRowDxfId="26" dataDxfId="25" headerRowCellStyle="Heading 1">
  <autoFilter ref="B1:N50" xr:uid="{7FB55F83-47FE-4D1E-A224-019B96235B76}">
    <filterColumn colId="9">
      <filters blank="1"/>
    </filterColumn>
  </autoFilter>
  <sortState xmlns:xlrd2="http://schemas.microsoft.com/office/spreadsheetml/2017/richdata2" ref="B2:N40">
    <sortCondition ref="J1:J40"/>
  </sortState>
  <tableColumns count="13">
    <tableColumn id="1" xr3:uid="{42534C90-A56C-485F-A7BE-3C77413BBAA3}" name="NO." totalsRowLabel="Total" dataDxfId="24" totalsRowDxfId="23">
      <calculatedColumnFormula>IF(ROW()=2, 1, IF(YEAR(J2) = YEAR(J1), B1+1, 1))</calculatedColumnFormula>
    </tableColumn>
    <tableColumn id="3" xr3:uid="{531F6BDD-815E-48DB-ABDF-A57A508E8AC5}" name="TITLE" totalsRowFunction="count" totalsRowDxfId="22"/>
    <tableColumn id="6" xr3:uid="{4D08AFE2-053D-4FA0-95ED-E08882182B0F}" name="SEASON" totalsRowDxfId="21"/>
    <tableColumn id="2" xr3:uid="{445D7747-ADA8-4CA6-98A4-F523418A3818}" name="YEAR" totalsRowDxfId="20"/>
    <tableColumn id="15" xr3:uid="{36B3DB58-FCE3-4EF8-AC5C-A50FFDCED4C4}" name="REVIEW" totalsRowDxfId="19"/>
    <tableColumn id="11" xr3:uid="{12F81275-EA15-47FA-8D99-C0F8FF511295}" name="GENRE" totalsRowDxfId="18"/>
    <tableColumn id="5" xr3:uid="{89AEAE4C-BA29-4E29-BA8F-5F576503869E}" name="EPISODES" totalsRowDxfId="17"/>
    <tableColumn id="8" xr3:uid="{D9716969-4425-444A-8862-A0D13F0E9D7D}" name="FORMAT" totalsRowDxfId="16"/>
    <tableColumn id="7" xr3:uid="{3A01ED8B-6271-467A-8F50-6FC8E0B7B59D}" name="START DATE" dataDxfId="15" totalsRowDxfId="14"/>
    <tableColumn id="4" xr3:uid="{643775CB-3A79-4453-BB94-BC7C988F47BA}" name="FINISH DATE" dataDxfId="13" totalsRowDxfId="12"/>
    <tableColumn id="12" xr3:uid="{28AFF974-7209-4894-92A7-6E56D727530B}" name="REWATCH" totalsRowDxfId="11"/>
    <tableColumn id="9" xr3:uid="{74838E68-2910-4437-B7B5-2F9D7874E288}" name="COMMENTS"/>
    <tableColumn id="10" xr3:uid="{FACB6B65-F377-49A6-B1DF-8D42A1FB8E93}" name="Total" dataDxfId="10">
      <calculatedColumnFormula>ROW(N2) - 1</calculatedColumnFormula>
    </tableColumn>
  </tableColumns>
  <tableStyleInfo name="Table Style 1" showFirstColumn="1" showLastColumn="1" showRowStripes="1" showColumnStripes="1"/>
  <extLst>
    <ext xmlns:x14="http://schemas.microsoft.com/office/spreadsheetml/2009/9/main" uri="{504A1905-F514-4f6f-8877-14C23A59335A}">
      <x14:table altTextSummary="Movie List with rank/catalogue Number, Year, Title, Starring Actors, Director, Genre, Rating, Format, and Comments in this table. Select Review for each movie"/>
    </ext>
  </extLst>
</table>
</file>

<file path=xl/theme/theme1.xml><?xml version="1.0" encoding="utf-8"?>
<a:theme xmlns:a="http://schemas.openxmlformats.org/drawingml/2006/main" name="Office Theme">
  <a:themeElements>
    <a:clrScheme name="Movie List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D9FF"/>
      </a:accent1>
      <a:accent2>
        <a:srgbClr val="EEDB4E"/>
      </a:accent2>
      <a:accent3>
        <a:srgbClr val="E6634F"/>
      </a:accent3>
      <a:accent4>
        <a:srgbClr val="F5A330"/>
      </a:accent4>
      <a:accent5>
        <a:srgbClr val="B885B0"/>
      </a:accent5>
      <a:accent6>
        <a:srgbClr val="6BC75E"/>
      </a:accent6>
      <a:hlink>
        <a:srgbClr val="00BFEA"/>
      </a:hlink>
      <a:folHlink>
        <a:srgbClr val="B885B0"/>
      </a:folHlink>
    </a:clrScheme>
    <a:fontScheme name="Movie List">
      <a:majorFont>
        <a:latin typeface="Franklin Gothic Medium"/>
        <a:ea typeface=""/>
        <a:cs typeface=""/>
      </a:majorFont>
      <a:minorFont>
        <a:latin typeface="Franklin Gothic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ark.netflix.io/en/family-tree" TargetMode="External"/><Relationship Id="rId2" Type="http://schemas.openxmlformats.org/officeDocument/2006/relationships/hyperlink" Target="https://dark.netflix.io/en/family-tree" TargetMode="External"/><Relationship Id="rId1" Type="http://schemas.openxmlformats.org/officeDocument/2006/relationships/hyperlink" Target="https://dark.netflix.io/en/family-tree" TargetMode="External"/><Relationship Id="rId5" Type="http://schemas.openxmlformats.org/officeDocument/2006/relationships/table" Target="../tables/table2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P57"/>
  <sheetViews>
    <sheetView showGridLines="0" tabSelected="1" topLeftCell="A44" zoomScaleNormal="100" workbookViewId="0">
      <selection activeCell="G56" sqref="G56"/>
    </sheetView>
  </sheetViews>
  <sheetFormatPr defaultColWidth="8.88671875" defaultRowHeight="43.5" customHeight="1" x14ac:dyDescent="0.3"/>
  <cols>
    <col min="1" max="1" width="2.88671875" customWidth="1"/>
    <col min="2" max="2" width="8.44140625" customWidth="1"/>
    <col min="3" max="3" width="28.109375" bestFit="1" customWidth="1"/>
    <col min="4" max="4" width="23" customWidth="1"/>
    <col min="5" max="5" width="9.21875" customWidth="1"/>
    <col min="6" max="6" width="10.6640625" customWidth="1"/>
    <col min="7" max="7" width="23" bestFit="1" customWidth="1"/>
    <col min="8" max="8" width="9.21875" customWidth="1"/>
    <col min="9" max="9" width="9.44140625" customWidth="1"/>
    <col min="10" max="10" width="9.88671875" bestFit="1" customWidth="1"/>
    <col min="11" max="11" width="10.6640625" bestFit="1" customWidth="1"/>
    <col min="12" max="12" width="29.21875" customWidth="1"/>
    <col min="13" max="13" width="8.5546875" customWidth="1"/>
    <col min="14" max="14" width="10" bestFit="1" customWidth="1"/>
    <col min="16" max="16" width="10.21875" style="2" bestFit="1" customWidth="1"/>
  </cols>
  <sheetData>
    <row r="1" spans="1:16" ht="43.5" customHeight="1" x14ac:dyDescent="0.3">
      <c r="A1" s="3"/>
      <c r="B1" s="1" t="s">
        <v>0</v>
      </c>
      <c r="C1" s="1" t="s">
        <v>2</v>
      </c>
      <c r="D1" s="1" t="s">
        <v>3</v>
      </c>
      <c r="E1" s="1" t="s">
        <v>1</v>
      </c>
      <c r="F1" s="1" t="s">
        <v>7</v>
      </c>
      <c r="G1" s="1" t="s">
        <v>4</v>
      </c>
      <c r="H1" s="1" t="s">
        <v>10</v>
      </c>
      <c r="I1" s="1" t="s">
        <v>5</v>
      </c>
      <c r="J1" s="1" t="s">
        <v>11</v>
      </c>
      <c r="K1" s="1" t="s">
        <v>12</v>
      </c>
      <c r="L1" s="1" t="s">
        <v>6</v>
      </c>
      <c r="M1" s="1" t="s">
        <v>8</v>
      </c>
      <c r="N1" s="2"/>
      <c r="P1"/>
    </row>
    <row r="2" spans="1:16" ht="43.5" hidden="1" customHeight="1" x14ac:dyDescent="0.3">
      <c r="A2" s="3"/>
      <c r="B2" s="3">
        <f t="shared" ref="B2:B33" si="0">IF(ROW()=2, 1, IF(YEAR(J2) = YEAR(J1), B1+1, 1))</f>
        <v>1</v>
      </c>
      <c r="C2" t="s">
        <v>17</v>
      </c>
      <c r="D2" t="s">
        <v>18</v>
      </c>
      <c r="E2">
        <v>2021</v>
      </c>
      <c r="F2">
        <v>65</v>
      </c>
      <c r="G2" t="s">
        <v>77</v>
      </c>
      <c r="H2" s="6">
        <v>7.8472222222222221E-2</v>
      </c>
      <c r="I2" t="s">
        <v>19</v>
      </c>
      <c r="J2" s="5">
        <v>44927</v>
      </c>
      <c r="K2" s="9"/>
      <c r="L2" t="s">
        <v>20</v>
      </c>
      <c r="M2" s="3">
        <f t="shared" ref="M2:M33" si="1">ROW(M2) - 1</f>
        <v>1</v>
      </c>
      <c r="N2" s="2"/>
      <c r="P2"/>
    </row>
    <row r="3" spans="1:16" ht="43.5" hidden="1" customHeight="1" x14ac:dyDescent="0.3">
      <c r="A3" s="3"/>
      <c r="B3" s="3">
        <f t="shared" si="0"/>
        <v>2</v>
      </c>
      <c r="C3" t="s">
        <v>13</v>
      </c>
      <c r="D3" s="3" t="s">
        <v>14</v>
      </c>
      <c r="E3" s="3">
        <v>2021</v>
      </c>
      <c r="F3" s="3">
        <v>60</v>
      </c>
      <c r="G3" t="s">
        <v>15</v>
      </c>
      <c r="H3" s="8">
        <v>6.25E-2</v>
      </c>
      <c r="I3" s="3" t="s">
        <v>9</v>
      </c>
      <c r="J3" s="5">
        <v>44927</v>
      </c>
      <c r="K3" s="9"/>
      <c r="L3" s="7" t="s">
        <v>16</v>
      </c>
      <c r="M3" s="3">
        <f t="shared" si="1"/>
        <v>2</v>
      </c>
      <c r="N3" s="2"/>
      <c r="P3"/>
    </row>
    <row r="4" spans="1:16" ht="43.5" hidden="1" customHeight="1" x14ac:dyDescent="0.3">
      <c r="A4" s="3"/>
      <c r="B4" s="3">
        <f t="shared" si="0"/>
        <v>3</v>
      </c>
      <c r="C4" s="12" t="s">
        <v>27</v>
      </c>
      <c r="D4" t="s">
        <v>28</v>
      </c>
      <c r="E4">
        <v>2022</v>
      </c>
      <c r="F4">
        <v>80</v>
      </c>
      <c r="G4" t="s">
        <v>75</v>
      </c>
      <c r="H4" s="6">
        <v>9.7222222222222224E-2</v>
      </c>
      <c r="I4" t="s">
        <v>29</v>
      </c>
      <c r="J4" s="5">
        <v>44929</v>
      </c>
      <c r="L4" t="s">
        <v>30</v>
      </c>
      <c r="M4" s="3">
        <f t="shared" si="1"/>
        <v>3</v>
      </c>
      <c r="N4" s="2"/>
      <c r="P4"/>
    </row>
    <row r="5" spans="1:16" ht="43.5" hidden="1" customHeight="1" x14ac:dyDescent="0.3">
      <c r="A5" s="3"/>
      <c r="B5" s="3">
        <f t="shared" si="0"/>
        <v>4</v>
      </c>
      <c r="C5" t="s">
        <v>31</v>
      </c>
      <c r="D5" t="s">
        <v>32</v>
      </c>
      <c r="E5">
        <v>2017</v>
      </c>
      <c r="F5">
        <v>85</v>
      </c>
      <c r="G5" t="s">
        <v>76</v>
      </c>
      <c r="H5" s="6">
        <v>9.5138888888888884E-2</v>
      </c>
      <c r="I5" t="s">
        <v>24</v>
      </c>
      <c r="J5" s="5">
        <v>44931</v>
      </c>
      <c r="L5" t="s">
        <v>36</v>
      </c>
      <c r="M5" s="3">
        <f t="shared" si="1"/>
        <v>4</v>
      </c>
    </row>
    <row r="6" spans="1:16" ht="43.5" hidden="1" customHeight="1" x14ac:dyDescent="0.3">
      <c r="A6" s="3"/>
      <c r="B6" s="3">
        <f t="shared" si="0"/>
        <v>5</v>
      </c>
      <c r="C6" t="s">
        <v>33</v>
      </c>
      <c r="D6" t="s">
        <v>32</v>
      </c>
      <c r="E6">
        <v>2019</v>
      </c>
      <c r="F6">
        <v>80</v>
      </c>
      <c r="G6" t="s">
        <v>34</v>
      </c>
      <c r="H6" s="6">
        <v>0.10902777777777778</v>
      </c>
      <c r="I6" t="s">
        <v>24</v>
      </c>
      <c r="J6" s="5">
        <v>44932</v>
      </c>
      <c r="L6" t="s">
        <v>35</v>
      </c>
      <c r="M6" s="3">
        <f t="shared" si="1"/>
        <v>5</v>
      </c>
    </row>
    <row r="7" spans="1:16" ht="43.5" hidden="1" customHeight="1" x14ac:dyDescent="0.3">
      <c r="A7" s="3"/>
      <c r="B7" s="3">
        <f t="shared" si="0"/>
        <v>6</v>
      </c>
      <c r="C7" t="s">
        <v>68</v>
      </c>
      <c r="D7" t="s">
        <v>43</v>
      </c>
      <c r="E7">
        <v>2014</v>
      </c>
      <c r="F7">
        <v>70</v>
      </c>
      <c r="G7" t="s">
        <v>78</v>
      </c>
      <c r="H7" s="6">
        <v>7.013888888888889E-2</v>
      </c>
      <c r="I7" t="s">
        <v>19</v>
      </c>
      <c r="J7" s="5">
        <v>44935</v>
      </c>
      <c r="K7" t="s">
        <v>44</v>
      </c>
      <c r="L7" t="s">
        <v>70</v>
      </c>
      <c r="M7" s="3">
        <f t="shared" si="1"/>
        <v>6</v>
      </c>
    </row>
    <row r="8" spans="1:16" ht="43.5" hidden="1" customHeight="1" x14ac:dyDescent="0.3">
      <c r="A8" s="3"/>
      <c r="B8" s="3">
        <f t="shared" si="0"/>
        <v>7</v>
      </c>
      <c r="C8" t="s">
        <v>56</v>
      </c>
      <c r="D8" t="s">
        <v>74</v>
      </c>
      <c r="E8">
        <v>2021</v>
      </c>
      <c r="F8">
        <v>65</v>
      </c>
      <c r="G8" t="s">
        <v>50</v>
      </c>
      <c r="H8" s="6">
        <v>7.013888888888889E-2</v>
      </c>
      <c r="I8" t="s">
        <v>39</v>
      </c>
      <c r="J8" s="5">
        <v>44969</v>
      </c>
      <c r="M8" s="3">
        <f t="shared" si="1"/>
        <v>7</v>
      </c>
    </row>
    <row r="9" spans="1:16" ht="43.5" hidden="1" customHeight="1" x14ac:dyDescent="0.3">
      <c r="A9" s="3"/>
      <c r="B9" s="3">
        <f t="shared" si="0"/>
        <v>8</v>
      </c>
      <c r="C9" t="s">
        <v>67</v>
      </c>
      <c r="D9" t="s">
        <v>69</v>
      </c>
      <c r="E9">
        <v>2017</v>
      </c>
      <c r="F9">
        <v>70</v>
      </c>
      <c r="G9" t="s">
        <v>78</v>
      </c>
      <c r="H9" s="6">
        <v>8.4722222222222213E-2</v>
      </c>
      <c r="I9" t="s">
        <v>9</v>
      </c>
      <c r="J9" s="5">
        <v>45006</v>
      </c>
      <c r="M9" s="3">
        <f t="shared" si="1"/>
        <v>8</v>
      </c>
    </row>
    <row r="10" spans="1:16" ht="43.5" hidden="1" customHeight="1" x14ac:dyDescent="0.3">
      <c r="A10" s="3"/>
      <c r="B10" s="3">
        <f t="shared" si="0"/>
        <v>9</v>
      </c>
      <c r="C10" t="s">
        <v>71</v>
      </c>
      <c r="D10" t="s">
        <v>69</v>
      </c>
      <c r="E10">
        <v>2019</v>
      </c>
      <c r="F10">
        <v>75</v>
      </c>
      <c r="G10" t="s">
        <v>78</v>
      </c>
      <c r="H10" s="6">
        <v>9.0277777777777776E-2</v>
      </c>
      <c r="I10" t="s">
        <v>9</v>
      </c>
      <c r="J10" s="5">
        <v>45008</v>
      </c>
      <c r="M10" s="3">
        <f t="shared" si="1"/>
        <v>9</v>
      </c>
    </row>
    <row r="11" spans="1:16" ht="43.5" hidden="1" customHeight="1" x14ac:dyDescent="0.3">
      <c r="A11" s="3"/>
      <c r="B11" s="3">
        <f t="shared" si="0"/>
        <v>10</v>
      </c>
      <c r="C11" t="s">
        <v>72</v>
      </c>
      <c r="D11" t="s">
        <v>73</v>
      </c>
      <c r="E11">
        <v>2001</v>
      </c>
      <c r="F11">
        <v>60</v>
      </c>
      <c r="G11" t="s">
        <v>78</v>
      </c>
      <c r="H11" s="6">
        <v>7.3611111111111113E-2</v>
      </c>
      <c r="I11" t="s">
        <v>39</v>
      </c>
      <c r="J11" s="5">
        <v>45009</v>
      </c>
      <c r="M11" s="3">
        <f t="shared" si="1"/>
        <v>10</v>
      </c>
    </row>
    <row r="12" spans="1:16" ht="43.5" hidden="1" customHeight="1" x14ac:dyDescent="0.3">
      <c r="A12" s="3"/>
      <c r="B12" s="3">
        <f t="shared" si="0"/>
        <v>11</v>
      </c>
      <c r="C12" t="s">
        <v>79</v>
      </c>
      <c r="D12" t="s">
        <v>69</v>
      </c>
      <c r="E12">
        <v>2023</v>
      </c>
      <c r="F12">
        <v>77</v>
      </c>
      <c r="G12" t="s">
        <v>78</v>
      </c>
      <c r="H12" s="6">
        <v>0.1173611111111111</v>
      </c>
      <c r="I12" t="s">
        <v>80</v>
      </c>
      <c r="J12" s="5">
        <v>45011</v>
      </c>
      <c r="M12" s="3">
        <f t="shared" si="1"/>
        <v>11</v>
      </c>
    </row>
    <row r="13" spans="1:16" ht="43.5" hidden="1" customHeight="1" x14ac:dyDescent="0.3">
      <c r="A13" s="3"/>
      <c r="B13" s="3">
        <f t="shared" si="0"/>
        <v>12</v>
      </c>
      <c r="C13" t="s">
        <v>90</v>
      </c>
      <c r="D13" t="s">
        <v>91</v>
      </c>
      <c r="E13">
        <v>2023</v>
      </c>
      <c r="F13">
        <v>75</v>
      </c>
      <c r="G13" t="s">
        <v>92</v>
      </c>
      <c r="H13" s="6">
        <v>6.3888888888888884E-2</v>
      </c>
      <c r="I13" t="s">
        <v>39</v>
      </c>
      <c r="J13" s="5">
        <v>45062</v>
      </c>
      <c r="M13" s="3">
        <f t="shared" si="1"/>
        <v>12</v>
      </c>
    </row>
    <row r="14" spans="1:16" ht="43.5" hidden="1" customHeight="1" x14ac:dyDescent="0.3">
      <c r="A14" s="3"/>
      <c r="B14" s="3">
        <f t="shared" si="0"/>
        <v>13</v>
      </c>
      <c r="C14" t="s">
        <v>93</v>
      </c>
      <c r="D14" t="s">
        <v>94</v>
      </c>
      <c r="E14">
        <v>2023</v>
      </c>
      <c r="F14">
        <v>85</v>
      </c>
      <c r="G14" t="s">
        <v>75</v>
      </c>
      <c r="H14" s="6">
        <v>0.10416666666666667</v>
      </c>
      <c r="I14" t="s">
        <v>80</v>
      </c>
      <c r="J14" s="5">
        <v>45071</v>
      </c>
      <c r="M14" s="3">
        <f t="shared" si="1"/>
        <v>13</v>
      </c>
    </row>
    <row r="15" spans="1:16" ht="43.5" hidden="1" customHeight="1" x14ac:dyDescent="0.3">
      <c r="A15" s="3"/>
      <c r="B15" s="3">
        <f t="shared" si="0"/>
        <v>14</v>
      </c>
      <c r="C15" t="s">
        <v>95</v>
      </c>
      <c r="D15" s="12" t="s">
        <v>96</v>
      </c>
      <c r="E15">
        <v>2023</v>
      </c>
      <c r="F15">
        <v>50</v>
      </c>
      <c r="G15" t="s">
        <v>75</v>
      </c>
      <c r="H15" s="6">
        <v>8.6111111111111124E-2</v>
      </c>
      <c r="I15" t="s">
        <v>24</v>
      </c>
      <c r="J15" s="5">
        <v>45072</v>
      </c>
      <c r="M15" s="3">
        <f t="shared" si="1"/>
        <v>14</v>
      </c>
    </row>
    <row r="16" spans="1:16" ht="43.5" hidden="1" customHeight="1" x14ac:dyDescent="0.3">
      <c r="A16" s="3"/>
      <c r="B16" s="3">
        <f t="shared" si="0"/>
        <v>15</v>
      </c>
      <c r="C16" t="s">
        <v>99</v>
      </c>
      <c r="D16" s="12" t="s">
        <v>100</v>
      </c>
      <c r="E16">
        <v>2022</v>
      </c>
      <c r="F16">
        <v>80</v>
      </c>
      <c r="G16" t="s">
        <v>101</v>
      </c>
      <c r="H16" s="6">
        <v>7.4305555555555555E-2</v>
      </c>
      <c r="I16" t="s">
        <v>24</v>
      </c>
      <c r="J16" s="5">
        <v>45081</v>
      </c>
      <c r="M16" s="3">
        <f t="shared" si="1"/>
        <v>15</v>
      </c>
    </row>
    <row r="17" spans="1:13" ht="43.5" hidden="1" customHeight="1" x14ac:dyDescent="0.3">
      <c r="A17" s="3"/>
      <c r="B17" s="3">
        <f t="shared" si="0"/>
        <v>16</v>
      </c>
      <c r="C17" t="s">
        <v>103</v>
      </c>
      <c r="D17" s="12" t="s">
        <v>104</v>
      </c>
      <c r="E17">
        <v>2023</v>
      </c>
      <c r="F17">
        <v>85</v>
      </c>
      <c r="G17" t="s">
        <v>50</v>
      </c>
      <c r="H17" s="6">
        <v>9.7222222222222224E-2</v>
      </c>
      <c r="I17" t="s">
        <v>80</v>
      </c>
      <c r="J17" s="5">
        <v>45115</v>
      </c>
      <c r="M17" s="3">
        <f t="shared" si="1"/>
        <v>16</v>
      </c>
    </row>
    <row r="18" spans="1:13" ht="43.5" hidden="1" customHeight="1" x14ac:dyDescent="0.3">
      <c r="A18" s="3"/>
      <c r="B18" s="3">
        <f t="shared" si="0"/>
        <v>17</v>
      </c>
      <c r="C18" t="s">
        <v>108</v>
      </c>
      <c r="D18" s="12" t="s">
        <v>109</v>
      </c>
      <c r="E18">
        <v>2023</v>
      </c>
      <c r="F18">
        <v>80</v>
      </c>
      <c r="G18" t="s">
        <v>110</v>
      </c>
      <c r="H18" s="6">
        <v>0.11319444444444444</v>
      </c>
      <c r="I18" t="s">
        <v>80</v>
      </c>
      <c r="J18" s="5">
        <v>45124</v>
      </c>
      <c r="M18" s="3">
        <f t="shared" si="1"/>
        <v>17</v>
      </c>
    </row>
    <row r="19" spans="1:13" ht="43.5" hidden="1" customHeight="1" x14ac:dyDescent="0.3">
      <c r="A19" s="3"/>
      <c r="B19" s="3">
        <f t="shared" si="0"/>
        <v>18</v>
      </c>
      <c r="C19" t="s">
        <v>111</v>
      </c>
      <c r="D19" s="12" t="s">
        <v>112</v>
      </c>
      <c r="E19">
        <v>2023</v>
      </c>
      <c r="F19">
        <v>55</v>
      </c>
      <c r="G19" t="s">
        <v>113</v>
      </c>
      <c r="H19" s="6">
        <v>9.9999999999999992E-2</v>
      </c>
      <c r="I19" t="s">
        <v>39</v>
      </c>
      <c r="J19" s="5">
        <v>45132</v>
      </c>
      <c r="M19" s="3">
        <f t="shared" si="1"/>
        <v>18</v>
      </c>
    </row>
    <row r="20" spans="1:13" ht="43.5" hidden="1" customHeight="1" x14ac:dyDescent="0.3">
      <c r="A20" s="3"/>
      <c r="B20" s="3">
        <f t="shared" si="0"/>
        <v>19</v>
      </c>
      <c r="C20" t="s">
        <v>115</v>
      </c>
      <c r="D20" s="12" t="s">
        <v>116</v>
      </c>
      <c r="E20">
        <v>2023</v>
      </c>
      <c r="F20">
        <v>70</v>
      </c>
      <c r="G20" t="s">
        <v>117</v>
      </c>
      <c r="H20" s="6">
        <v>9.375E-2</v>
      </c>
      <c r="I20" t="s">
        <v>80</v>
      </c>
      <c r="J20" s="5">
        <v>45149</v>
      </c>
      <c r="M20" s="3">
        <f t="shared" si="1"/>
        <v>19</v>
      </c>
    </row>
    <row r="21" spans="1:13" ht="43.5" hidden="1" customHeight="1" x14ac:dyDescent="0.3">
      <c r="A21" s="3"/>
      <c r="B21" s="3">
        <f t="shared" si="0"/>
        <v>20</v>
      </c>
      <c r="C21" t="s">
        <v>126</v>
      </c>
      <c r="D21" s="12" t="s">
        <v>128</v>
      </c>
      <c r="E21">
        <v>2004</v>
      </c>
      <c r="F21">
        <v>70</v>
      </c>
      <c r="G21" t="s">
        <v>127</v>
      </c>
      <c r="H21" s="6">
        <v>7.1527777777777787E-2</v>
      </c>
      <c r="I21" t="s">
        <v>29</v>
      </c>
      <c r="J21" s="5">
        <v>45200</v>
      </c>
      <c r="K21" t="s">
        <v>44</v>
      </c>
      <c r="M21" s="3">
        <f t="shared" si="1"/>
        <v>20</v>
      </c>
    </row>
    <row r="22" spans="1:13" ht="43.5" hidden="1" customHeight="1" x14ac:dyDescent="0.3">
      <c r="A22" s="3"/>
      <c r="B22" s="3">
        <f t="shared" si="0"/>
        <v>21</v>
      </c>
      <c r="C22" t="s">
        <v>129</v>
      </c>
      <c r="D22" s="12" t="s">
        <v>130</v>
      </c>
      <c r="E22">
        <v>2005</v>
      </c>
      <c r="F22">
        <v>65</v>
      </c>
      <c r="G22" t="s">
        <v>127</v>
      </c>
      <c r="H22" s="6">
        <v>6.458333333333334E-2</v>
      </c>
      <c r="I22" t="s">
        <v>39</v>
      </c>
      <c r="J22" s="5">
        <v>45202</v>
      </c>
      <c r="K22" t="s">
        <v>44</v>
      </c>
      <c r="M22" s="3">
        <f t="shared" si="1"/>
        <v>21</v>
      </c>
    </row>
    <row r="23" spans="1:13" ht="43.5" hidden="1" customHeight="1" x14ac:dyDescent="0.3">
      <c r="A23" s="3"/>
      <c r="B23" s="3">
        <f t="shared" si="0"/>
        <v>22</v>
      </c>
      <c r="C23" t="s">
        <v>134</v>
      </c>
      <c r="D23" s="12" t="s">
        <v>135</v>
      </c>
      <c r="E23">
        <v>2023</v>
      </c>
      <c r="F23">
        <v>70</v>
      </c>
      <c r="G23" t="s">
        <v>127</v>
      </c>
      <c r="H23" s="6">
        <v>8.1944444444444445E-2</v>
      </c>
      <c r="I23" t="s">
        <v>39</v>
      </c>
      <c r="J23" s="5">
        <v>45227</v>
      </c>
      <c r="M23" s="3">
        <f t="shared" si="1"/>
        <v>22</v>
      </c>
    </row>
    <row r="24" spans="1:13" ht="43.5" hidden="1" customHeight="1" x14ac:dyDescent="0.3">
      <c r="A24" s="3"/>
      <c r="B24" s="3">
        <f t="shared" si="0"/>
        <v>23</v>
      </c>
      <c r="C24" t="s">
        <v>137</v>
      </c>
      <c r="D24" s="12" t="s">
        <v>138</v>
      </c>
      <c r="E24">
        <v>2014</v>
      </c>
      <c r="F24">
        <v>80</v>
      </c>
      <c r="G24" t="s">
        <v>89</v>
      </c>
      <c r="H24" s="6">
        <v>8.1250000000000003E-2</v>
      </c>
      <c r="I24" t="s">
        <v>39</v>
      </c>
      <c r="J24" s="5">
        <v>45251</v>
      </c>
      <c r="M24" s="3">
        <f t="shared" si="1"/>
        <v>23</v>
      </c>
    </row>
    <row r="25" spans="1:13" ht="43.5" hidden="1" customHeight="1" x14ac:dyDescent="0.3">
      <c r="A25" s="3"/>
      <c r="B25" s="3">
        <f t="shared" si="0"/>
        <v>24</v>
      </c>
      <c r="C25" t="s">
        <v>140</v>
      </c>
      <c r="D25" s="12" t="s">
        <v>141</v>
      </c>
      <c r="E25">
        <v>2006</v>
      </c>
      <c r="F25">
        <v>80</v>
      </c>
      <c r="G25" t="s">
        <v>89</v>
      </c>
      <c r="H25" s="6">
        <v>0.10486111111111111</v>
      </c>
      <c r="I25" t="s">
        <v>29</v>
      </c>
      <c r="J25" s="5">
        <v>45255</v>
      </c>
      <c r="M25" s="3">
        <f t="shared" si="1"/>
        <v>24</v>
      </c>
    </row>
    <row r="26" spans="1:13" ht="43.5" hidden="1" customHeight="1" x14ac:dyDescent="0.3">
      <c r="A26" s="3"/>
      <c r="B26" s="3">
        <f t="shared" si="0"/>
        <v>25</v>
      </c>
      <c r="C26" t="s">
        <v>142</v>
      </c>
      <c r="D26" s="12" t="s">
        <v>143</v>
      </c>
      <c r="E26">
        <v>2001</v>
      </c>
      <c r="F26">
        <v>60</v>
      </c>
      <c r="G26" t="s">
        <v>92</v>
      </c>
      <c r="H26" s="6">
        <v>6.25E-2</v>
      </c>
      <c r="I26" t="s">
        <v>29</v>
      </c>
      <c r="J26" s="5">
        <v>45256</v>
      </c>
      <c r="M26" s="3">
        <f t="shared" si="1"/>
        <v>25</v>
      </c>
    </row>
    <row r="27" spans="1:13" ht="43.5" hidden="1" customHeight="1" x14ac:dyDescent="0.3">
      <c r="A27" s="3"/>
      <c r="B27" s="3">
        <f t="shared" si="0"/>
        <v>26</v>
      </c>
      <c r="C27" t="s">
        <v>145</v>
      </c>
      <c r="D27" s="12" t="s">
        <v>146</v>
      </c>
      <c r="E27">
        <v>2014</v>
      </c>
      <c r="F27">
        <v>70</v>
      </c>
      <c r="G27" t="s">
        <v>147</v>
      </c>
      <c r="H27" s="6">
        <v>6.5972222222222224E-2</v>
      </c>
      <c r="I27" t="s">
        <v>19</v>
      </c>
      <c r="J27" s="5">
        <v>45269</v>
      </c>
      <c r="M27" s="3">
        <f t="shared" si="1"/>
        <v>26</v>
      </c>
    </row>
    <row r="28" spans="1:13" ht="43.5" hidden="1" customHeight="1" x14ac:dyDescent="0.3">
      <c r="A28" s="3"/>
      <c r="B28" s="3">
        <f t="shared" si="0"/>
        <v>27</v>
      </c>
      <c r="C28" t="s">
        <v>148</v>
      </c>
      <c r="D28" s="12" t="s">
        <v>149</v>
      </c>
      <c r="E28">
        <v>2016</v>
      </c>
      <c r="F28">
        <v>70</v>
      </c>
      <c r="G28" t="s">
        <v>42</v>
      </c>
      <c r="H28" s="6">
        <v>8.0555555555555561E-2</v>
      </c>
      <c r="I28" t="s">
        <v>29</v>
      </c>
      <c r="J28" s="5">
        <v>45270</v>
      </c>
      <c r="M28" s="3">
        <f t="shared" si="1"/>
        <v>27</v>
      </c>
    </row>
    <row r="29" spans="1:13" ht="43.5" hidden="1" customHeight="1" x14ac:dyDescent="0.3">
      <c r="A29" s="3"/>
      <c r="B29" s="3">
        <f t="shared" si="0"/>
        <v>28</v>
      </c>
      <c r="C29" t="s">
        <v>150</v>
      </c>
      <c r="D29" s="12" t="s">
        <v>151</v>
      </c>
      <c r="E29">
        <v>1999</v>
      </c>
      <c r="F29">
        <v>75</v>
      </c>
      <c r="G29" t="s">
        <v>89</v>
      </c>
      <c r="H29" s="6">
        <v>9.6527777777777768E-2</v>
      </c>
      <c r="I29" t="s">
        <v>9</v>
      </c>
      <c r="J29" s="5">
        <v>45272</v>
      </c>
      <c r="M29" s="3">
        <f t="shared" si="1"/>
        <v>28</v>
      </c>
    </row>
    <row r="30" spans="1:13" ht="43.5" hidden="1" customHeight="1" x14ac:dyDescent="0.3">
      <c r="A30" s="3"/>
      <c r="B30" s="3">
        <f t="shared" si="0"/>
        <v>29</v>
      </c>
      <c r="C30" t="s">
        <v>152</v>
      </c>
      <c r="D30" s="12" t="s">
        <v>153</v>
      </c>
      <c r="E30">
        <v>2023</v>
      </c>
      <c r="F30">
        <v>75</v>
      </c>
      <c r="G30" t="s">
        <v>154</v>
      </c>
      <c r="H30" s="6">
        <v>8.5416666666666655E-2</v>
      </c>
      <c r="I30" t="s">
        <v>29</v>
      </c>
      <c r="J30" s="5">
        <v>45275</v>
      </c>
      <c r="M30" s="3">
        <f t="shared" si="1"/>
        <v>29</v>
      </c>
    </row>
    <row r="31" spans="1:13" ht="43.5" hidden="1" customHeight="1" x14ac:dyDescent="0.3">
      <c r="A31" s="3"/>
      <c r="B31" s="3">
        <f t="shared" si="0"/>
        <v>30</v>
      </c>
      <c r="C31" t="s">
        <v>155</v>
      </c>
      <c r="D31" s="12" t="s">
        <v>156</v>
      </c>
      <c r="E31">
        <v>2014</v>
      </c>
      <c r="F31">
        <v>56</v>
      </c>
      <c r="G31" t="s">
        <v>76</v>
      </c>
      <c r="H31" s="6">
        <v>6.7361111111111108E-2</v>
      </c>
      <c r="I31" t="s">
        <v>9</v>
      </c>
      <c r="J31" s="5">
        <v>45276</v>
      </c>
      <c r="M31" s="3">
        <f t="shared" si="1"/>
        <v>30</v>
      </c>
    </row>
    <row r="32" spans="1:13" ht="43.5" hidden="1" customHeight="1" x14ac:dyDescent="0.3">
      <c r="A32" s="3"/>
      <c r="B32" s="3">
        <f t="shared" si="0"/>
        <v>31</v>
      </c>
      <c r="C32" t="s">
        <v>157</v>
      </c>
      <c r="D32" s="12" t="s">
        <v>158</v>
      </c>
      <c r="E32">
        <v>2012</v>
      </c>
      <c r="F32">
        <v>70</v>
      </c>
      <c r="G32" t="s">
        <v>87</v>
      </c>
      <c r="H32" s="6">
        <v>7.5694444444444439E-2</v>
      </c>
      <c r="I32" t="s">
        <v>39</v>
      </c>
      <c r="J32" s="5">
        <v>45281</v>
      </c>
      <c r="M32" s="3">
        <f t="shared" si="1"/>
        <v>31</v>
      </c>
    </row>
    <row r="33" spans="1:13" ht="43.5" customHeight="1" x14ac:dyDescent="0.3">
      <c r="A33" s="3"/>
      <c r="B33" s="3">
        <f t="shared" si="0"/>
        <v>1</v>
      </c>
      <c r="C33" t="s">
        <v>164</v>
      </c>
      <c r="D33" s="12" t="s">
        <v>165</v>
      </c>
      <c r="E33">
        <v>2006</v>
      </c>
      <c r="F33">
        <v>90</v>
      </c>
      <c r="G33" t="s">
        <v>42</v>
      </c>
      <c r="H33" s="6">
        <v>9.0277777777777776E-2</v>
      </c>
      <c r="I33" t="s">
        <v>39</v>
      </c>
      <c r="J33" s="5">
        <v>45292</v>
      </c>
      <c r="M33" s="23">
        <f t="shared" si="1"/>
        <v>32</v>
      </c>
    </row>
    <row r="34" spans="1:13" ht="43.5" customHeight="1" x14ac:dyDescent="0.3">
      <c r="A34" s="3"/>
      <c r="B34" s="23">
        <f t="shared" ref="B34:B39" si="2">IF(ROW()=2, 1, IF(YEAR(J34) = YEAR(J33), B33+1, 1))</f>
        <v>2</v>
      </c>
      <c r="C34" t="s">
        <v>166</v>
      </c>
      <c r="D34" s="12" t="s">
        <v>167</v>
      </c>
      <c r="E34">
        <v>2022</v>
      </c>
      <c r="F34">
        <v>70</v>
      </c>
      <c r="G34" t="s">
        <v>168</v>
      </c>
      <c r="H34" s="6">
        <v>0.10208333333333335</v>
      </c>
      <c r="I34" t="s">
        <v>39</v>
      </c>
      <c r="J34" s="5">
        <v>45352</v>
      </c>
      <c r="M34" s="24">
        <f t="shared" ref="M34:M39" si="3">ROW(M34) - 1</f>
        <v>33</v>
      </c>
    </row>
    <row r="35" spans="1:13" ht="43.5" customHeight="1" x14ac:dyDescent="0.3">
      <c r="A35" s="3"/>
      <c r="B35" s="23">
        <f t="shared" si="2"/>
        <v>3</v>
      </c>
      <c r="C35" t="s">
        <v>169</v>
      </c>
      <c r="D35" s="12" t="s">
        <v>170</v>
      </c>
      <c r="E35">
        <v>2023</v>
      </c>
      <c r="F35">
        <v>65</v>
      </c>
      <c r="G35" t="s">
        <v>171</v>
      </c>
      <c r="H35" s="6">
        <v>8.4722222222222213E-2</v>
      </c>
      <c r="I35" t="s">
        <v>9</v>
      </c>
      <c r="J35" s="5">
        <v>45352</v>
      </c>
      <c r="M35" s="24">
        <f t="shared" si="3"/>
        <v>34</v>
      </c>
    </row>
    <row r="36" spans="1:13" ht="43.5" customHeight="1" x14ac:dyDescent="0.3">
      <c r="A36" s="3"/>
      <c r="B36" s="23">
        <f t="shared" si="2"/>
        <v>4</v>
      </c>
      <c r="C36" t="s">
        <v>175</v>
      </c>
      <c r="D36" s="12" t="s">
        <v>176</v>
      </c>
      <c r="E36">
        <v>2024</v>
      </c>
      <c r="F36">
        <v>100</v>
      </c>
      <c r="G36" t="s">
        <v>177</v>
      </c>
      <c r="H36" s="6">
        <v>9.9999999999999992E-2</v>
      </c>
      <c r="I36" t="s">
        <v>9</v>
      </c>
      <c r="J36" s="5">
        <v>45307</v>
      </c>
      <c r="M36" s="24">
        <f t="shared" si="3"/>
        <v>35</v>
      </c>
    </row>
    <row r="37" spans="1:13" ht="43.5" customHeight="1" x14ac:dyDescent="0.3">
      <c r="A37" s="3"/>
      <c r="B37" s="23">
        <f t="shared" si="2"/>
        <v>5</v>
      </c>
      <c r="C37" t="s">
        <v>178</v>
      </c>
      <c r="D37" s="12" t="s">
        <v>179</v>
      </c>
      <c r="E37">
        <v>2014</v>
      </c>
      <c r="F37">
        <v>80</v>
      </c>
      <c r="G37" t="s">
        <v>180</v>
      </c>
      <c r="H37" s="6">
        <v>6.8749999999999992E-2</v>
      </c>
      <c r="I37" t="s">
        <v>24</v>
      </c>
      <c r="J37" s="5">
        <v>45309</v>
      </c>
      <c r="M37" s="24">
        <f t="shared" si="3"/>
        <v>36</v>
      </c>
    </row>
    <row r="38" spans="1:13" ht="43.5" customHeight="1" x14ac:dyDescent="0.3">
      <c r="A38" s="3"/>
      <c r="B38" s="23">
        <f t="shared" si="2"/>
        <v>6</v>
      </c>
      <c r="C38" t="s">
        <v>181</v>
      </c>
      <c r="D38" s="12" t="s">
        <v>182</v>
      </c>
      <c r="E38">
        <v>2015</v>
      </c>
      <c r="F38">
        <v>60</v>
      </c>
      <c r="G38" t="s">
        <v>183</v>
      </c>
      <c r="H38" s="6">
        <v>8.4027777777777771E-2</v>
      </c>
      <c r="I38" t="s">
        <v>29</v>
      </c>
      <c r="J38" s="5">
        <v>45312</v>
      </c>
      <c r="M38" s="24">
        <f t="shared" si="3"/>
        <v>37</v>
      </c>
    </row>
    <row r="39" spans="1:13" ht="43.5" customHeight="1" x14ac:dyDescent="0.3">
      <c r="A39" s="3"/>
      <c r="B39" s="23">
        <f t="shared" si="2"/>
        <v>7</v>
      </c>
      <c r="C39" t="s">
        <v>184</v>
      </c>
      <c r="D39" s="12" t="s">
        <v>185</v>
      </c>
      <c r="E39">
        <v>2017</v>
      </c>
      <c r="F39">
        <v>80</v>
      </c>
      <c r="G39" t="s">
        <v>161</v>
      </c>
      <c r="H39" s="6">
        <v>6.5277777777777782E-2</v>
      </c>
      <c r="I39" t="s">
        <v>29</v>
      </c>
      <c r="J39" s="5">
        <v>45315</v>
      </c>
      <c r="M39" s="24">
        <f t="shared" si="3"/>
        <v>38</v>
      </c>
    </row>
    <row r="40" spans="1:13" ht="43.5" customHeight="1" x14ac:dyDescent="0.3">
      <c r="A40" s="3"/>
      <c r="B40" s="23">
        <f t="shared" ref="B40:B45" si="4">IF(ROW()=2, 1, IF(YEAR(J40) = YEAR(J39), B39+1, 1))</f>
        <v>8</v>
      </c>
      <c r="C40" t="s">
        <v>188</v>
      </c>
      <c r="D40" s="12" t="s">
        <v>146</v>
      </c>
      <c r="E40">
        <v>2023</v>
      </c>
      <c r="F40">
        <v>70</v>
      </c>
      <c r="G40" t="s">
        <v>147</v>
      </c>
      <c r="H40" s="6">
        <v>8.0555555555555561E-2</v>
      </c>
      <c r="I40" t="s">
        <v>39</v>
      </c>
      <c r="J40" s="5">
        <v>45324</v>
      </c>
      <c r="M40" s="24">
        <f t="shared" ref="M40:M45" si="5">ROW(M40) - 1</f>
        <v>39</v>
      </c>
    </row>
    <row r="41" spans="1:13" ht="43.5" customHeight="1" x14ac:dyDescent="0.3">
      <c r="A41" s="3"/>
      <c r="B41" s="23">
        <f t="shared" si="4"/>
        <v>9</v>
      </c>
      <c r="C41" t="s">
        <v>189</v>
      </c>
      <c r="D41" t="s">
        <v>191</v>
      </c>
      <c r="E41">
        <v>2024</v>
      </c>
      <c r="F41">
        <v>60</v>
      </c>
      <c r="G41" s="12" t="s">
        <v>190</v>
      </c>
      <c r="H41" s="6">
        <v>7.2916666666666671E-2</v>
      </c>
      <c r="I41" t="s">
        <v>39</v>
      </c>
      <c r="J41" s="5">
        <v>45325</v>
      </c>
      <c r="M41" s="24">
        <f t="shared" si="5"/>
        <v>40</v>
      </c>
    </row>
    <row r="42" spans="1:13" ht="43.5" customHeight="1" x14ac:dyDescent="0.3">
      <c r="A42" s="3"/>
      <c r="B42" s="23">
        <f t="shared" si="4"/>
        <v>10</v>
      </c>
      <c r="C42" t="s">
        <v>192</v>
      </c>
      <c r="D42" t="s">
        <v>193</v>
      </c>
      <c r="E42">
        <v>1999</v>
      </c>
      <c r="F42">
        <v>80</v>
      </c>
      <c r="G42" s="12" t="s">
        <v>194</v>
      </c>
      <c r="H42" s="6">
        <v>9.6527777777777768E-2</v>
      </c>
      <c r="I42" s="10" t="s">
        <v>24</v>
      </c>
      <c r="J42" s="5">
        <v>45328</v>
      </c>
      <c r="M42" s="24">
        <f t="shared" si="5"/>
        <v>41</v>
      </c>
    </row>
    <row r="43" spans="1:13" ht="43.5" customHeight="1" x14ac:dyDescent="0.3">
      <c r="A43" s="3"/>
      <c r="B43" s="23">
        <f t="shared" si="4"/>
        <v>11</v>
      </c>
      <c r="C43" t="s">
        <v>196</v>
      </c>
      <c r="D43" t="s">
        <v>197</v>
      </c>
      <c r="E43">
        <v>2011</v>
      </c>
      <c r="F43">
        <v>60</v>
      </c>
      <c r="G43" s="12" t="s">
        <v>198</v>
      </c>
      <c r="H43" s="6">
        <v>6.9444444444444434E-2</v>
      </c>
      <c r="I43" s="10" t="s">
        <v>29</v>
      </c>
      <c r="J43" s="5">
        <v>45330</v>
      </c>
      <c r="M43" s="24">
        <f t="shared" si="5"/>
        <v>42</v>
      </c>
    </row>
    <row r="44" spans="1:13" ht="43.5" customHeight="1" x14ac:dyDescent="0.3">
      <c r="A44" s="3"/>
      <c r="B44" s="23">
        <f t="shared" si="4"/>
        <v>12</v>
      </c>
      <c r="C44" t="s">
        <v>199</v>
      </c>
      <c r="D44" t="s">
        <v>200</v>
      </c>
      <c r="E44">
        <v>2018</v>
      </c>
      <c r="F44">
        <v>60</v>
      </c>
      <c r="G44" s="12" t="s">
        <v>201</v>
      </c>
      <c r="H44" s="6">
        <v>8.1250000000000003E-2</v>
      </c>
      <c r="I44" s="10" t="s">
        <v>29</v>
      </c>
      <c r="J44" s="5">
        <v>45331</v>
      </c>
      <c r="M44" s="24">
        <f t="shared" si="5"/>
        <v>43</v>
      </c>
    </row>
    <row r="45" spans="1:13" ht="43.5" customHeight="1" x14ac:dyDescent="0.3">
      <c r="A45" s="3"/>
      <c r="B45" s="23">
        <f t="shared" si="4"/>
        <v>13</v>
      </c>
      <c r="C45" t="s">
        <v>203</v>
      </c>
      <c r="D45" t="s">
        <v>149</v>
      </c>
      <c r="E45">
        <v>2021</v>
      </c>
      <c r="F45">
        <v>70</v>
      </c>
      <c r="G45" s="12" t="s">
        <v>204</v>
      </c>
      <c r="H45" s="6">
        <v>0.1076388888888889</v>
      </c>
      <c r="I45" s="10" t="s">
        <v>19</v>
      </c>
      <c r="J45" s="5">
        <v>45352</v>
      </c>
      <c r="M45" s="24">
        <f t="shared" si="5"/>
        <v>44</v>
      </c>
    </row>
    <row r="46" spans="1:13" ht="43.5" customHeight="1" x14ac:dyDescent="0.3">
      <c r="A46" s="3"/>
      <c r="B46" s="23">
        <f t="shared" ref="B46:B51" si="6">IF(ROW()=2, 1, IF(YEAR(J46) = YEAR(J45), B45+1, 1))</f>
        <v>14</v>
      </c>
      <c r="C46" t="s">
        <v>205</v>
      </c>
      <c r="D46" t="s">
        <v>206</v>
      </c>
      <c r="E46">
        <v>2024</v>
      </c>
      <c r="F46">
        <v>60</v>
      </c>
      <c r="G46" s="12" t="s">
        <v>174</v>
      </c>
      <c r="H46" s="6">
        <v>7.8472222222222221E-2</v>
      </c>
      <c r="I46" s="10" t="s">
        <v>29</v>
      </c>
      <c r="J46" s="5">
        <v>45365</v>
      </c>
      <c r="M46" s="24">
        <f t="shared" ref="M46:M51" si="7">ROW(M46) - 1</f>
        <v>45</v>
      </c>
    </row>
    <row r="47" spans="1:13" ht="43.5" customHeight="1" x14ac:dyDescent="0.3">
      <c r="A47" s="3"/>
      <c r="B47" s="23">
        <f t="shared" si="6"/>
        <v>15</v>
      </c>
      <c r="C47" t="s">
        <v>208</v>
      </c>
      <c r="D47" t="s">
        <v>209</v>
      </c>
      <c r="E47">
        <v>1985</v>
      </c>
      <c r="F47">
        <v>75</v>
      </c>
      <c r="G47" s="12" t="s">
        <v>210</v>
      </c>
      <c r="H47" s="6">
        <v>8.0555555555555561E-2</v>
      </c>
      <c r="I47" s="10" t="s">
        <v>39</v>
      </c>
      <c r="J47" s="5">
        <v>45380</v>
      </c>
      <c r="M47" s="24">
        <f t="shared" si="7"/>
        <v>46</v>
      </c>
    </row>
    <row r="48" spans="1:13" ht="43.5" customHeight="1" x14ac:dyDescent="0.3">
      <c r="B48" s="23">
        <f t="shared" si="6"/>
        <v>16</v>
      </c>
      <c r="C48" t="s">
        <v>216</v>
      </c>
      <c r="D48" t="s">
        <v>217</v>
      </c>
      <c r="E48">
        <v>2014</v>
      </c>
      <c r="F48">
        <v>60</v>
      </c>
      <c r="G48" s="12" t="s">
        <v>218</v>
      </c>
      <c r="H48" s="6">
        <v>7.8472222222222221E-2</v>
      </c>
      <c r="I48" s="10" t="s">
        <v>39</v>
      </c>
      <c r="J48" s="5">
        <v>45395</v>
      </c>
      <c r="K48" t="s">
        <v>44</v>
      </c>
      <c r="M48" s="24">
        <f t="shared" si="7"/>
        <v>47</v>
      </c>
    </row>
    <row r="49" spans="2:13" ht="43.5" customHeight="1" x14ac:dyDescent="0.3">
      <c r="B49" s="23">
        <f t="shared" si="6"/>
        <v>17</v>
      </c>
      <c r="C49" t="s">
        <v>219</v>
      </c>
      <c r="D49" t="s">
        <v>149</v>
      </c>
      <c r="E49">
        <v>2024</v>
      </c>
      <c r="F49">
        <v>80</v>
      </c>
      <c r="G49" s="12" t="s">
        <v>204</v>
      </c>
      <c r="H49" s="6">
        <v>0.11597222222222221</v>
      </c>
      <c r="I49" s="10" t="s">
        <v>80</v>
      </c>
      <c r="J49" s="5">
        <v>45403</v>
      </c>
      <c r="M49" s="24">
        <f t="shared" si="7"/>
        <v>48</v>
      </c>
    </row>
    <row r="50" spans="2:13" ht="43.5" customHeight="1" x14ac:dyDescent="0.3">
      <c r="B50" s="23">
        <f t="shared" si="6"/>
        <v>18</v>
      </c>
      <c r="C50" t="s">
        <v>220</v>
      </c>
      <c r="D50" t="s">
        <v>217</v>
      </c>
      <c r="E50">
        <v>2024</v>
      </c>
      <c r="F50">
        <v>70</v>
      </c>
      <c r="G50" s="12" t="s">
        <v>221</v>
      </c>
      <c r="H50" s="6">
        <v>0.10069444444444443</v>
      </c>
      <c r="I50" s="10" t="s">
        <v>80</v>
      </c>
      <c r="J50" s="5">
        <v>45419</v>
      </c>
      <c r="L50" t="s">
        <v>222</v>
      </c>
      <c r="M50" s="24">
        <f t="shared" si="7"/>
        <v>49</v>
      </c>
    </row>
    <row r="51" spans="2:13" ht="43.5" customHeight="1" x14ac:dyDescent="0.3">
      <c r="B51" s="23">
        <f t="shared" si="6"/>
        <v>19</v>
      </c>
      <c r="C51" t="s">
        <v>223</v>
      </c>
      <c r="D51" t="s">
        <v>217</v>
      </c>
      <c r="E51">
        <v>2015</v>
      </c>
      <c r="F51">
        <v>60</v>
      </c>
      <c r="G51" s="12" t="s">
        <v>224</v>
      </c>
      <c r="H51" s="6">
        <v>9.0972222222222218E-2</v>
      </c>
      <c r="I51" s="10" t="s">
        <v>39</v>
      </c>
      <c r="J51" s="5">
        <v>45430</v>
      </c>
      <c r="K51" t="s">
        <v>44</v>
      </c>
      <c r="M51" s="24">
        <f t="shared" si="7"/>
        <v>50</v>
      </c>
    </row>
    <row r="52" spans="2:13" ht="43.5" customHeight="1" x14ac:dyDescent="0.3">
      <c r="B52" s="23">
        <f>IF(ROW()=2, 1, IF(YEAR(J52) = YEAR(J51), B51+1, 1))</f>
        <v>20</v>
      </c>
      <c r="C52" t="s">
        <v>225</v>
      </c>
      <c r="D52" t="s">
        <v>226</v>
      </c>
      <c r="E52">
        <v>2024</v>
      </c>
      <c r="F52">
        <v>80</v>
      </c>
      <c r="G52" s="12" t="s">
        <v>227</v>
      </c>
      <c r="H52" s="6">
        <v>7.5694444444444439E-2</v>
      </c>
      <c r="I52" s="10" t="s">
        <v>39</v>
      </c>
      <c r="J52" s="5">
        <v>45436</v>
      </c>
      <c r="M52" s="24">
        <f>ROW(M52) - 1</f>
        <v>51</v>
      </c>
    </row>
    <row r="53" spans="2:13" ht="43.5" customHeight="1" x14ac:dyDescent="0.3">
      <c r="B53" s="23">
        <f>IF(ROW()=2, 1, IF(YEAR(J53) = YEAR(J52), B52+1, 1))</f>
        <v>21</v>
      </c>
      <c r="C53" t="s">
        <v>228</v>
      </c>
      <c r="D53" t="s">
        <v>229</v>
      </c>
      <c r="E53">
        <v>2024</v>
      </c>
      <c r="F53">
        <v>70</v>
      </c>
      <c r="G53" s="12" t="s">
        <v>230</v>
      </c>
      <c r="H53" s="6">
        <v>8.7500000000000008E-2</v>
      </c>
      <c r="I53" s="10" t="s">
        <v>39</v>
      </c>
      <c r="J53" s="5">
        <v>45442</v>
      </c>
      <c r="M53" s="24">
        <f>ROW(M53) - 1</f>
        <v>52</v>
      </c>
    </row>
    <row r="54" spans="2:13" ht="43.5" customHeight="1" x14ac:dyDescent="0.3">
      <c r="B54" s="4"/>
      <c r="C54" s="4"/>
      <c r="D54" s="4"/>
      <c r="E54" s="4"/>
      <c r="F54" s="4"/>
      <c r="G54" s="4"/>
      <c r="H54" s="16"/>
      <c r="I54" s="4"/>
      <c r="J54" s="11"/>
      <c r="K54" s="4"/>
    </row>
    <row r="55" spans="2:13" ht="43.5" customHeight="1" x14ac:dyDescent="0.3">
      <c r="C55" s="4"/>
      <c r="D55" s="4"/>
      <c r="E55" s="4"/>
      <c r="F55" s="4"/>
      <c r="G55" s="4"/>
      <c r="H55" s="16"/>
      <c r="I55" s="4"/>
      <c r="J55" s="11"/>
      <c r="K55" s="4"/>
    </row>
    <row r="56" spans="2:13" ht="43.5" customHeight="1" x14ac:dyDescent="0.3">
      <c r="B56" s="4"/>
      <c r="C56" s="4"/>
      <c r="D56" s="4"/>
      <c r="E56" s="4"/>
      <c r="F56" s="4"/>
      <c r="G56" s="4"/>
      <c r="H56" s="16"/>
      <c r="I56" s="11"/>
      <c r="J56" s="11"/>
      <c r="K56" s="4"/>
    </row>
    <row r="57" spans="2:13" ht="43.5" customHeight="1" x14ac:dyDescent="0.3">
      <c r="B57" s="16"/>
      <c r="C57" s="4"/>
      <c r="D57" s="4"/>
      <c r="E57" s="4"/>
      <c r="F57" s="4"/>
      <c r="G57" s="4"/>
      <c r="I57" s="4"/>
      <c r="J57" s="11"/>
      <c r="K57" s="4"/>
    </row>
  </sheetData>
  <phoneticPr fontId="7" type="noConversion"/>
  <dataValidations count="11">
    <dataValidation allowBlank="1" showInputMessage="1" showErrorMessage="1" prompt="Enter Number as a rank or catalogue in this column under this heading. Use heading filters to find specific entries" sqref="B1" xr:uid="{00000000-0002-0000-0000-000001000000}"/>
    <dataValidation allowBlank="1" showInputMessage="1" showErrorMessage="1" prompt="Enter Year in this column under this heading" sqref="E1" xr:uid="{00000000-0002-0000-0000-000002000000}"/>
    <dataValidation allowBlank="1" showInputMessage="1" showErrorMessage="1" prompt="Enter Title in this column under this heading" sqref="C1:E1" xr:uid="{00000000-0002-0000-0000-000003000000}"/>
    <dataValidation allowBlank="1" showInputMessage="1" showErrorMessage="1" prompt="Select Review in this column under this heading. Press ALT+DOWN ARROW to open the drop-down list, then ENTER to make selection" sqref="F1" xr:uid="{00000000-0002-0000-0000-000004000000}"/>
    <dataValidation allowBlank="1" showInputMessage="1" showErrorMessage="1" prompt="Enter Director in this column under this heading" sqref="D1" xr:uid="{00000000-0002-0000-0000-000006000000}"/>
    <dataValidation allowBlank="1" showInputMessage="1" showErrorMessage="1" prompt="Enter Genre in this column under this heading" sqref="G1:H1" xr:uid="{00000000-0002-0000-0000-000007000000}"/>
    <dataValidation allowBlank="1" showInputMessage="1" showErrorMessage="1" prompt="Enter Format in this column under this heading" sqref="I1:K1" xr:uid="{00000000-0002-0000-0000-000009000000}"/>
    <dataValidation type="whole" errorStyle="warning" allowBlank="1" showInputMessage="1" showErrorMessage="1" error="Entry not in list. Select Yes to use custom entry or Cancel to select from the list. Press ALT+DOWN ARROW to open the drop-down list and ENTER to make selection" sqref="F3" xr:uid="{00000000-0002-0000-0000-00000C000000}">
      <formula1>0</formula1>
      <formula2>100</formula2>
    </dataValidation>
    <dataValidation type="list" allowBlank="1" showInputMessage="1" sqref="K2:K53" xr:uid="{9F3F8FC5-37CA-4CCD-BD38-9FF0E3A0399F}">
      <formula1>"X,"</formula1>
    </dataValidation>
    <dataValidation type="list" allowBlank="1" showInputMessage="1" sqref="I2:I53" xr:uid="{E45F7E5F-0FCB-4BBE-805A-CF824EF64932}">
      <formula1>"Netflix,Prime,Disney+,HBO,Online,Bioscoop,TV,NPOstart"</formula1>
    </dataValidation>
    <dataValidation allowBlank="1" showInputMessage="1" showErrorMessage="1" prompt="Enter Comments in this column under this heading" sqref="L1:M1" xr:uid="{00000000-0002-0000-0000-00000A000000}"/>
  </dataValidations>
  <printOptions horizontalCentered="1"/>
  <pageMargins left="0.25" right="0.25" top="0.5" bottom="0.75" header="0.55000000000000004" footer="0.55000000000000004"/>
  <pageSetup scale="55" fitToHeight="0" orientation="landscape" r:id="rId1"/>
  <headerFooter differentFirst="1">
    <oddFooter>&amp;C&amp;K01+000Page &amp;P of &amp;N</oddFooter>
  </headerFooter>
  <ignoredErrors>
    <ignoredError sqref="B27:B32 B15:B18 B20:B26" evalError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756C-86B6-4737-BD02-2F5A91825D00}">
  <sheetPr>
    <pageSetUpPr autoPageBreaks="0" fitToPage="1"/>
  </sheetPr>
  <dimension ref="A1:Q78"/>
  <sheetViews>
    <sheetView zoomScaleNormal="100" workbookViewId="0">
      <selection activeCell="C55" sqref="C55:J55"/>
    </sheetView>
  </sheetViews>
  <sheetFormatPr defaultColWidth="8.88671875" defaultRowHeight="43.5" customHeight="1" x14ac:dyDescent="0.3"/>
  <cols>
    <col min="1" max="1" width="2.88671875" customWidth="1"/>
    <col min="2" max="2" width="8.44140625" customWidth="1"/>
    <col min="3" max="3" width="22.6640625" customWidth="1"/>
    <col min="4" max="4" width="11.44140625" customWidth="1"/>
    <col min="5" max="5" width="9.21875" customWidth="1"/>
    <col min="6" max="6" width="10.6640625" style="20" customWidth="1"/>
    <col min="7" max="7" width="17.77734375" customWidth="1"/>
    <col min="8" max="8" width="11.88671875" customWidth="1"/>
    <col min="9" max="9" width="14" customWidth="1"/>
    <col min="10" max="11" width="14" style="10" customWidth="1"/>
    <col min="12" max="12" width="12.6640625" customWidth="1"/>
    <col min="13" max="13" width="29.21875" customWidth="1"/>
    <col min="14" max="14" width="15.109375" customWidth="1"/>
    <col min="15" max="15" width="10" bestFit="1" customWidth="1"/>
    <col min="17" max="17" width="10.21875" style="2" bestFit="1" customWidth="1"/>
  </cols>
  <sheetData>
    <row r="1" spans="1:17" ht="22.5" customHeight="1" x14ac:dyDescent="0.3">
      <c r="A1" s="3"/>
      <c r="B1" s="14" t="s">
        <v>0</v>
      </c>
      <c r="C1" s="14" t="s">
        <v>2</v>
      </c>
      <c r="D1" s="14" t="s">
        <v>21</v>
      </c>
      <c r="E1" s="14" t="s">
        <v>1</v>
      </c>
      <c r="F1" s="19" t="s">
        <v>7</v>
      </c>
      <c r="G1" s="14" t="s">
        <v>4</v>
      </c>
      <c r="H1" s="14" t="s">
        <v>26</v>
      </c>
      <c r="I1" s="14" t="s">
        <v>5</v>
      </c>
      <c r="J1" s="15" t="s">
        <v>23</v>
      </c>
      <c r="K1" s="15" t="s">
        <v>22</v>
      </c>
      <c r="L1" s="14" t="s">
        <v>12</v>
      </c>
      <c r="M1" s="14" t="s">
        <v>6</v>
      </c>
      <c r="N1" s="14" t="s">
        <v>8</v>
      </c>
      <c r="O1" s="2"/>
      <c r="Q1"/>
    </row>
    <row r="2" spans="1:17" ht="43.5" hidden="1" customHeight="1" x14ac:dyDescent="0.3">
      <c r="A2" s="3"/>
      <c r="B2">
        <f t="shared" ref="B2:B40" si="0">IF(ROW()=2, 1, IF(YEAR(J2) = YEAR(J1), B1+1, 1))</f>
        <v>1</v>
      </c>
      <c r="C2" t="s">
        <v>55</v>
      </c>
      <c r="D2">
        <v>5</v>
      </c>
      <c r="E2">
        <v>2021</v>
      </c>
      <c r="F2">
        <v>75</v>
      </c>
      <c r="G2" t="s">
        <v>162</v>
      </c>
      <c r="H2">
        <v>25</v>
      </c>
      <c r="I2" s="3" t="s">
        <v>39</v>
      </c>
      <c r="J2" s="10">
        <v>44915</v>
      </c>
      <c r="K2" s="10">
        <v>44969</v>
      </c>
      <c r="M2" t="s">
        <v>163</v>
      </c>
      <c r="N2" s="12">
        <f t="shared" ref="N2:N40" si="1">ROW(N2) - 1</f>
        <v>1</v>
      </c>
      <c r="O2" s="2"/>
      <c r="Q2"/>
    </row>
    <row r="3" spans="1:17" ht="43.5" hidden="1" customHeight="1" x14ac:dyDescent="0.3">
      <c r="A3" s="3"/>
      <c r="B3">
        <f t="shared" si="0"/>
        <v>2</v>
      </c>
      <c r="C3" t="s">
        <v>25</v>
      </c>
      <c r="D3" s="3">
        <v>1</v>
      </c>
      <c r="E3" s="3">
        <v>2022</v>
      </c>
      <c r="F3" s="3">
        <v>70</v>
      </c>
      <c r="G3" t="s">
        <v>161</v>
      </c>
      <c r="H3">
        <v>8</v>
      </c>
      <c r="I3" s="3" t="s">
        <v>24</v>
      </c>
      <c r="J3" s="5">
        <v>44924</v>
      </c>
      <c r="K3" s="5">
        <v>44936</v>
      </c>
      <c r="L3" s="9"/>
      <c r="M3" s="7" t="s">
        <v>30</v>
      </c>
      <c r="N3" s="12">
        <f t="shared" si="1"/>
        <v>2</v>
      </c>
      <c r="O3" s="2"/>
      <c r="Q3"/>
    </row>
    <row r="4" spans="1:17" ht="43.5" hidden="1" customHeight="1" x14ac:dyDescent="0.3">
      <c r="A4" s="3"/>
      <c r="B4">
        <f t="shared" si="0"/>
        <v>1</v>
      </c>
      <c r="C4" t="s">
        <v>37</v>
      </c>
      <c r="D4">
        <v>6</v>
      </c>
      <c r="E4">
        <v>2023</v>
      </c>
      <c r="F4">
        <v>65</v>
      </c>
      <c r="G4" t="s">
        <v>38</v>
      </c>
      <c r="H4">
        <v>10</v>
      </c>
      <c r="I4" s="3" t="s">
        <v>58</v>
      </c>
      <c r="J4" s="5">
        <v>44930</v>
      </c>
      <c r="K4" s="10">
        <v>45029</v>
      </c>
      <c r="M4" t="s">
        <v>83</v>
      </c>
      <c r="N4" s="12">
        <f t="shared" si="1"/>
        <v>3</v>
      </c>
      <c r="O4" s="2"/>
      <c r="Q4"/>
    </row>
    <row r="5" spans="1:17" ht="43.5" hidden="1" customHeight="1" x14ac:dyDescent="0.3">
      <c r="A5" s="3"/>
      <c r="B5">
        <f t="shared" si="0"/>
        <v>2</v>
      </c>
      <c r="C5" t="s">
        <v>41</v>
      </c>
      <c r="D5">
        <v>1</v>
      </c>
      <c r="E5">
        <v>2022</v>
      </c>
      <c r="F5">
        <v>90</v>
      </c>
      <c r="G5" t="s">
        <v>42</v>
      </c>
      <c r="H5">
        <v>9</v>
      </c>
      <c r="I5" s="3" t="s">
        <v>39</v>
      </c>
      <c r="J5" s="5">
        <v>44934</v>
      </c>
      <c r="K5" s="10">
        <v>44937</v>
      </c>
      <c r="M5" t="s">
        <v>45</v>
      </c>
      <c r="N5" s="12">
        <f t="shared" si="1"/>
        <v>4</v>
      </c>
      <c r="O5" s="2"/>
      <c r="Q5"/>
    </row>
    <row r="6" spans="1:17" ht="43.5" hidden="1" customHeight="1" x14ac:dyDescent="0.3">
      <c r="A6" s="3"/>
      <c r="B6">
        <f t="shared" si="0"/>
        <v>3</v>
      </c>
      <c r="C6" t="s">
        <v>46</v>
      </c>
      <c r="D6">
        <v>5</v>
      </c>
      <c r="E6">
        <v>2015</v>
      </c>
      <c r="F6">
        <v>90</v>
      </c>
      <c r="G6" t="s">
        <v>47</v>
      </c>
      <c r="H6">
        <v>10</v>
      </c>
      <c r="I6" s="3" t="s">
        <v>19</v>
      </c>
      <c r="J6" s="5">
        <v>44939</v>
      </c>
      <c r="K6" s="10">
        <v>44948</v>
      </c>
      <c r="N6" s="12">
        <f t="shared" si="1"/>
        <v>5</v>
      </c>
    </row>
    <row r="7" spans="1:17" ht="43.5" hidden="1" customHeight="1" x14ac:dyDescent="0.3">
      <c r="A7" s="3"/>
      <c r="B7">
        <f t="shared" si="0"/>
        <v>4</v>
      </c>
      <c r="C7" t="s">
        <v>48</v>
      </c>
      <c r="D7">
        <v>2023</v>
      </c>
      <c r="E7">
        <v>2023</v>
      </c>
      <c r="F7">
        <v>80</v>
      </c>
      <c r="G7" t="s">
        <v>38</v>
      </c>
      <c r="H7">
        <v>10</v>
      </c>
      <c r="I7" s="3" t="s">
        <v>59</v>
      </c>
      <c r="J7" s="5">
        <v>44940</v>
      </c>
      <c r="K7" s="10">
        <v>44996</v>
      </c>
      <c r="M7" t="s">
        <v>40</v>
      </c>
      <c r="N7" s="12">
        <f t="shared" si="1"/>
        <v>6</v>
      </c>
    </row>
    <row r="8" spans="1:17" ht="43.5" hidden="1" customHeight="1" x14ac:dyDescent="0.3">
      <c r="A8" s="3"/>
      <c r="B8">
        <f t="shared" si="0"/>
        <v>5</v>
      </c>
      <c r="C8" t="s">
        <v>49</v>
      </c>
      <c r="D8">
        <v>1</v>
      </c>
      <c r="E8">
        <v>2023</v>
      </c>
      <c r="F8">
        <v>90</v>
      </c>
      <c r="G8" t="s">
        <v>47</v>
      </c>
      <c r="H8">
        <v>9</v>
      </c>
      <c r="I8" s="3" t="s">
        <v>19</v>
      </c>
      <c r="J8" s="5">
        <v>44943</v>
      </c>
      <c r="K8" s="10">
        <v>45000</v>
      </c>
      <c r="M8" t="s">
        <v>40</v>
      </c>
      <c r="N8" s="12">
        <f t="shared" si="1"/>
        <v>7</v>
      </c>
    </row>
    <row r="9" spans="1:17" ht="43.5" hidden="1" customHeight="1" x14ac:dyDescent="0.3">
      <c r="B9">
        <f t="shared" si="0"/>
        <v>6</v>
      </c>
      <c r="C9" t="s">
        <v>53</v>
      </c>
      <c r="D9">
        <v>1</v>
      </c>
      <c r="E9">
        <v>2023</v>
      </c>
      <c r="F9">
        <v>60</v>
      </c>
      <c r="G9" t="s">
        <v>54</v>
      </c>
      <c r="H9">
        <v>6</v>
      </c>
      <c r="I9" s="3" t="s">
        <v>29</v>
      </c>
      <c r="J9" s="10">
        <v>44944</v>
      </c>
      <c r="K9" s="10">
        <v>44946</v>
      </c>
      <c r="N9" s="12">
        <f t="shared" si="1"/>
        <v>8</v>
      </c>
    </row>
    <row r="10" spans="1:17" ht="43.5" hidden="1" customHeight="1" x14ac:dyDescent="0.3">
      <c r="B10">
        <f t="shared" si="0"/>
        <v>7</v>
      </c>
      <c r="C10" t="s">
        <v>51</v>
      </c>
      <c r="D10">
        <v>2</v>
      </c>
      <c r="E10">
        <v>2014</v>
      </c>
      <c r="F10">
        <v>80</v>
      </c>
      <c r="G10" t="s">
        <v>52</v>
      </c>
      <c r="H10">
        <v>8</v>
      </c>
      <c r="I10" s="3" t="s">
        <v>39</v>
      </c>
      <c r="J10" s="5">
        <v>44946</v>
      </c>
      <c r="K10" s="10">
        <v>44952</v>
      </c>
      <c r="M10" t="s">
        <v>30</v>
      </c>
      <c r="N10" s="12">
        <f t="shared" si="1"/>
        <v>9</v>
      </c>
    </row>
    <row r="11" spans="1:17" ht="43.5" hidden="1" customHeight="1" x14ac:dyDescent="0.3">
      <c r="B11">
        <f t="shared" si="0"/>
        <v>8</v>
      </c>
      <c r="C11" t="s">
        <v>124</v>
      </c>
      <c r="D11">
        <v>6</v>
      </c>
      <c r="E11">
        <v>2016</v>
      </c>
      <c r="F11" s="20">
        <v>85</v>
      </c>
      <c r="G11" t="s">
        <v>47</v>
      </c>
      <c r="H11">
        <v>10</v>
      </c>
      <c r="I11" s="3" t="s">
        <v>19</v>
      </c>
      <c r="J11" s="5">
        <v>44949</v>
      </c>
      <c r="K11" s="10">
        <v>45244</v>
      </c>
      <c r="N11" s="12">
        <f t="shared" si="1"/>
        <v>10</v>
      </c>
    </row>
    <row r="12" spans="1:17" ht="43.5" hidden="1" customHeight="1" x14ac:dyDescent="0.3">
      <c r="B12">
        <f t="shared" si="0"/>
        <v>9</v>
      </c>
      <c r="C12" t="s">
        <v>51</v>
      </c>
      <c r="D12">
        <v>3</v>
      </c>
      <c r="E12">
        <v>2015</v>
      </c>
      <c r="F12">
        <v>80</v>
      </c>
      <c r="G12" t="s">
        <v>52</v>
      </c>
      <c r="H12">
        <v>8</v>
      </c>
      <c r="I12" s="3" t="s">
        <v>39</v>
      </c>
      <c r="J12" s="10">
        <v>44957</v>
      </c>
      <c r="K12" s="10">
        <v>45102</v>
      </c>
      <c r="N12" s="12">
        <f t="shared" si="1"/>
        <v>11</v>
      </c>
    </row>
    <row r="13" spans="1:17" ht="43.5" hidden="1" customHeight="1" x14ac:dyDescent="0.3">
      <c r="B13">
        <f t="shared" si="0"/>
        <v>10</v>
      </c>
      <c r="C13" t="s">
        <v>55</v>
      </c>
      <c r="D13">
        <v>6</v>
      </c>
      <c r="E13">
        <v>2022</v>
      </c>
      <c r="F13">
        <v>75</v>
      </c>
      <c r="G13" t="s">
        <v>50</v>
      </c>
      <c r="H13">
        <v>25</v>
      </c>
      <c r="I13" s="3" t="s">
        <v>39</v>
      </c>
      <c r="J13" s="10">
        <v>44970</v>
      </c>
      <c r="K13" s="10">
        <v>45053</v>
      </c>
      <c r="N13" s="12">
        <f t="shared" si="1"/>
        <v>12</v>
      </c>
    </row>
    <row r="14" spans="1:17" ht="43.5" hidden="1" customHeight="1" x14ac:dyDescent="0.3">
      <c r="B14">
        <f t="shared" si="0"/>
        <v>11</v>
      </c>
      <c r="C14" t="s">
        <v>118</v>
      </c>
      <c r="D14">
        <v>1</v>
      </c>
      <c r="E14">
        <v>2016</v>
      </c>
      <c r="F14">
        <v>70</v>
      </c>
      <c r="G14" t="s">
        <v>57</v>
      </c>
      <c r="H14">
        <v>5</v>
      </c>
      <c r="I14" s="3" t="s">
        <v>58</v>
      </c>
      <c r="J14" s="10">
        <v>44977</v>
      </c>
      <c r="K14" s="10">
        <v>44977</v>
      </c>
      <c r="N14" s="12">
        <f t="shared" si="1"/>
        <v>13</v>
      </c>
    </row>
    <row r="15" spans="1:17" ht="43.5" hidden="1" customHeight="1" x14ac:dyDescent="0.3">
      <c r="B15">
        <f t="shared" si="0"/>
        <v>12</v>
      </c>
      <c r="C15" t="s">
        <v>60</v>
      </c>
      <c r="D15">
        <v>5</v>
      </c>
      <c r="E15">
        <v>2023</v>
      </c>
      <c r="F15">
        <v>75</v>
      </c>
      <c r="G15" t="s">
        <v>61</v>
      </c>
      <c r="H15">
        <v>10</v>
      </c>
      <c r="I15" s="3" t="s">
        <v>9</v>
      </c>
      <c r="J15" s="10">
        <v>44981</v>
      </c>
      <c r="K15" s="10">
        <v>44984</v>
      </c>
      <c r="N15" s="12">
        <f t="shared" si="1"/>
        <v>14</v>
      </c>
    </row>
    <row r="16" spans="1:17" ht="43.5" hidden="1" customHeight="1" x14ac:dyDescent="0.3">
      <c r="B16">
        <f t="shared" si="0"/>
        <v>13</v>
      </c>
      <c r="C16" t="s">
        <v>64</v>
      </c>
      <c r="D16">
        <v>1</v>
      </c>
      <c r="E16">
        <v>2013</v>
      </c>
      <c r="F16">
        <v>80</v>
      </c>
      <c r="G16" t="s">
        <v>65</v>
      </c>
      <c r="H16">
        <v>6</v>
      </c>
      <c r="I16" s="3" t="s">
        <v>9</v>
      </c>
      <c r="J16" s="10">
        <v>44988</v>
      </c>
      <c r="K16" s="10">
        <v>45029</v>
      </c>
      <c r="N16" s="12">
        <f t="shared" si="1"/>
        <v>15</v>
      </c>
    </row>
    <row r="17" spans="2:14" ht="43.5" hidden="1" customHeight="1" x14ac:dyDescent="0.3">
      <c r="B17">
        <f t="shared" si="0"/>
        <v>14</v>
      </c>
      <c r="C17" t="s">
        <v>62</v>
      </c>
      <c r="D17">
        <v>1</v>
      </c>
      <c r="E17">
        <v>2015</v>
      </c>
      <c r="F17">
        <v>70</v>
      </c>
      <c r="G17" t="s">
        <v>63</v>
      </c>
      <c r="H17">
        <v>13</v>
      </c>
      <c r="I17" s="3" t="s">
        <v>39</v>
      </c>
      <c r="J17" s="10">
        <v>44988</v>
      </c>
      <c r="K17" s="10">
        <v>45117</v>
      </c>
      <c r="N17" s="12">
        <f t="shared" si="1"/>
        <v>16</v>
      </c>
    </row>
    <row r="18" spans="2:14" ht="43.5" hidden="1" customHeight="1" x14ac:dyDescent="0.3">
      <c r="B18">
        <f t="shared" si="0"/>
        <v>15</v>
      </c>
      <c r="C18" t="s">
        <v>66</v>
      </c>
      <c r="D18">
        <v>11</v>
      </c>
      <c r="E18">
        <v>2023</v>
      </c>
      <c r="F18">
        <v>80</v>
      </c>
      <c r="G18" t="s">
        <v>38</v>
      </c>
      <c r="H18">
        <v>9</v>
      </c>
      <c r="I18" s="3" t="s">
        <v>39</v>
      </c>
      <c r="J18" s="10">
        <v>45005</v>
      </c>
      <c r="K18" s="10">
        <v>45064</v>
      </c>
      <c r="M18" t="s">
        <v>40</v>
      </c>
      <c r="N18" s="12">
        <f t="shared" si="1"/>
        <v>17</v>
      </c>
    </row>
    <row r="19" spans="2:14" ht="43.5" hidden="1" customHeight="1" x14ac:dyDescent="0.3">
      <c r="B19">
        <f t="shared" si="0"/>
        <v>16</v>
      </c>
      <c r="C19" t="s">
        <v>81</v>
      </c>
      <c r="D19">
        <v>1</v>
      </c>
      <c r="E19">
        <v>2022</v>
      </c>
      <c r="F19">
        <v>80</v>
      </c>
      <c r="G19" t="s">
        <v>82</v>
      </c>
      <c r="H19">
        <v>24</v>
      </c>
      <c r="I19" s="3" t="s">
        <v>39</v>
      </c>
      <c r="J19" s="10">
        <v>45017</v>
      </c>
      <c r="K19" s="10">
        <v>45025</v>
      </c>
      <c r="N19" s="12">
        <f t="shared" si="1"/>
        <v>18</v>
      </c>
    </row>
    <row r="20" spans="2:14" ht="43.5" hidden="1" customHeight="1" x14ac:dyDescent="0.3">
      <c r="B20">
        <f t="shared" si="0"/>
        <v>17</v>
      </c>
      <c r="C20" t="s">
        <v>84</v>
      </c>
      <c r="D20">
        <v>1</v>
      </c>
      <c r="E20">
        <v>2021</v>
      </c>
      <c r="F20">
        <v>75</v>
      </c>
      <c r="G20" t="s">
        <v>85</v>
      </c>
      <c r="H20">
        <v>10</v>
      </c>
      <c r="I20" s="3" t="s">
        <v>39</v>
      </c>
      <c r="J20" s="10">
        <v>45030</v>
      </c>
      <c r="K20" s="10">
        <v>45037</v>
      </c>
      <c r="N20" s="12">
        <f t="shared" si="1"/>
        <v>19</v>
      </c>
    </row>
    <row r="21" spans="2:14" ht="43.5" hidden="1" customHeight="1" x14ac:dyDescent="0.3">
      <c r="B21">
        <f t="shared" si="0"/>
        <v>18</v>
      </c>
      <c r="C21" t="s">
        <v>84</v>
      </c>
      <c r="D21">
        <v>2</v>
      </c>
      <c r="E21">
        <v>2023</v>
      </c>
      <c r="F21">
        <v>40</v>
      </c>
      <c r="G21" t="s">
        <v>85</v>
      </c>
      <c r="H21">
        <v>9</v>
      </c>
      <c r="I21" s="3" t="s">
        <v>39</v>
      </c>
      <c r="J21" s="10">
        <v>45037</v>
      </c>
      <c r="K21" s="10">
        <v>45099</v>
      </c>
      <c r="M21" t="s">
        <v>102</v>
      </c>
      <c r="N21" s="12">
        <f t="shared" si="1"/>
        <v>20</v>
      </c>
    </row>
    <row r="22" spans="2:14" ht="43.5" hidden="1" customHeight="1" x14ac:dyDescent="0.3">
      <c r="B22">
        <f t="shared" si="0"/>
        <v>19</v>
      </c>
      <c r="C22" t="s">
        <v>86</v>
      </c>
      <c r="D22">
        <v>4</v>
      </c>
      <c r="E22">
        <v>2023</v>
      </c>
      <c r="F22">
        <v>80</v>
      </c>
      <c r="G22" t="s">
        <v>87</v>
      </c>
      <c r="H22">
        <v>8</v>
      </c>
      <c r="I22" s="3" t="s">
        <v>19</v>
      </c>
      <c r="J22" s="10">
        <v>45039</v>
      </c>
      <c r="K22" s="10">
        <v>45078</v>
      </c>
      <c r="M22" t="s">
        <v>40</v>
      </c>
      <c r="N22" s="12">
        <f t="shared" si="1"/>
        <v>21</v>
      </c>
    </row>
    <row r="23" spans="2:14" ht="43.5" hidden="1" customHeight="1" x14ac:dyDescent="0.3">
      <c r="B23">
        <f t="shared" si="0"/>
        <v>20</v>
      </c>
      <c r="C23" t="s">
        <v>88</v>
      </c>
      <c r="D23">
        <v>4</v>
      </c>
      <c r="E23">
        <v>2019</v>
      </c>
      <c r="F23" s="20">
        <v>90</v>
      </c>
      <c r="G23" t="s">
        <v>89</v>
      </c>
      <c r="H23">
        <v>13</v>
      </c>
      <c r="I23" s="3" t="s">
        <v>29</v>
      </c>
      <c r="J23" s="10">
        <v>45050</v>
      </c>
      <c r="K23" s="10">
        <v>45192</v>
      </c>
      <c r="N23" s="12">
        <f t="shared" si="1"/>
        <v>22</v>
      </c>
    </row>
    <row r="24" spans="2:14" ht="43.5" hidden="1" customHeight="1" x14ac:dyDescent="0.3">
      <c r="B24">
        <f t="shared" si="0"/>
        <v>21</v>
      </c>
      <c r="C24" t="s">
        <v>97</v>
      </c>
      <c r="D24" t="s">
        <v>98</v>
      </c>
      <c r="E24">
        <v>2022</v>
      </c>
      <c r="F24">
        <v>75</v>
      </c>
      <c r="G24" t="s">
        <v>50</v>
      </c>
      <c r="H24">
        <v>12</v>
      </c>
      <c r="I24" s="3" t="s">
        <v>39</v>
      </c>
      <c r="J24" s="10">
        <v>45073</v>
      </c>
      <c r="K24" s="10">
        <v>45107</v>
      </c>
      <c r="N24" s="12">
        <f t="shared" si="1"/>
        <v>23</v>
      </c>
    </row>
    <row r="25" spans="2:14" ht="43.5" hidden="1" customHeight="1" x14ac:dyDescent="0.3">
      <c r="B25">
        <f t="shared" si="0"/>
        <v>22</v>
      </c>
      <c r="C25" t="s">
        <v>106</v>
      </c>
      <c r="D25">
        <v>1</v>
      </c>
      <c r="E25">
        <v>2017</v>
      </c>
      <c r="F25" s="18">
        <v>90</v>
      </c>
      <c r="G25" t="s">
        <v>107</v>
      </c>
      <c r="H25">
        <v>10</v>
      </c>
      <c r="I25" s="3" t="s">
        <v>9</v>
      </c>
      <c r="J25" s="10">
        <v>45118</v>
      </c>
      <c r="K25" s="10">
        <v>45119</v>
      </c>
      <c r="L25" t="s">
        <v>44</v>
      </c>
      <c r="M25" s="17" t="s">
        <v>105</v>
      </c>
      <c r="N25" s="12">
        <f t="shared" si="1"/>
        <v>24</v>
      </c>
    </row>
    <row r="26" spans="2:14" ht="43.5" hidden="1" customHeight="1" x14ac:dyDescent="0.3">
      <c r="B26">
        <f t="shared" si="0"/>
        <v>23</v>
      </c>
      <c r="C26" t="s">
        <v>106</v>
      </c>
      <c r="D26">
        <v>2</v>
      </c>
      <c r="E26">
        <v>2019</v>
      </c>
      <c r="F26" s="18">
        <v>90</v>
      </c>
      <c r="G26" t="s">
        <v>107</v>
      </c>
      <c r="H26">
        <v>8</v>
      </c>
      <c r="I26" s="3" t="s">
        <v>9</v>
      </c>
      <c r="J26" s="10">
        <v>45120</v>
      </c>
      <c r="K26" s="10">
        <v>45122</v>
      </c>
      <c r="L26" t="s">
        <v>44</v>
      </c>
      <c r="M26" s="17" t="s">
        <v>105</v>
      </c>
      <c r="N26" s="12">
        <f t="shared" si="1"/>
        <v>25</v>
      </c>
    </row>
    <row r="27" spans="2:14" ht="43.5" hidden="1" customHeight="1" x14ac:dyDescent="0.3">
      <c r="B27">
        <f t="shared" si="0"/>
        <v>24</v>
      </c>
      <c r="C27" t="s">
        <v>106</v>
      </c>
      <c r="D27">
        <v>3</v>
      </c>
      <c r="E27">
        <v>2020</v>
      </c>
      <c r="F27" s="18">
        <v>75</v>
      </c>
      <c r="G27" t="s">
        <v>107</v>
      </c>
      <c r="H27">
        <v>8</v>
      </c>
      <c r="I27" s="3" t="s">
        <v>9</v>
      </c>
      <c r="J27" s="10">
        <v>45123</v>
      </c>
      <c r="K27" s="10">
        <v>45148</v>
      </c>
      <c r="M27" s="17" t="s">
        <v>105</v>
      </c>
      <c r="N27" s="12">
        <f t="shared" si="1"/>
        <v>26</v>
      </c>
    </row>
    <row r="28" spans="2:14" ht="43.5" hidden="1" customHeight="1" x14ac:dyDescent="0.3">
      <c r="B28">
        <f t="shared" si="0"/>
        <v>25</v>
      </c>
      <c r="C28" t="s">
        <v>114</v>
      </c>
      <c r="D28">
        <v>1</v>
      </c>
      <c r="E28">
        <v>2023</v>
      </c>
      <c r="F28" s="18">
        <v>90</v>
      </c>
      <c r="G28" t="s">
        <v>42</v>
      </c>
      <c r="H28">
        <v>10</v>
      </c>
      <c r="I28" s="3" t="s">
        <v>39</v>
      </c>
      <c r="J28" s="10">
        <v>45133</v>
      </c>
      <c r="K28" s="10">
        <v>45135</v>
      </c>
      <c r="M28" s="17"/>
      <c r="N28" s="12">
        <f t="shared" si="1"/>
        <v>27</v>
      </c>
    </row>
    <row r="29" spans="2:14" ht="43.5" hidden="1" customHeight="1" x14ac:dyDescent="0.3">
      <c r="B29">
        <f t="shared" si="0"/>
        <v>26</v>
      </c>
      <c r="C29" t="s">
        <v>119</v>
      </c>
      <c r="D29">
        <v>4</v>
      </c>
      <c r="E29">
        <v>2023</v>
      </c>
      <c r="F29" s="18">
        <v>75</v>
      </c>
      <c r="G29" t="s">
        <v>120</v>
      </c>
      <c r="H29">
        <v>11</v>
      </c>
      <c r="I29" s="3" t="s">
        <v>39</v>
      </c>
      <c r="J29" s="10">
        <v>45162</v>
      </c>
      <c r="K29" s="10">
        <v>45167</v>
      </c>
      <c r="M29" s="17"/>
      <c r="N29" s="12">
        <f t="shared" si="1"/>
        <v>28</v>
      </c>
    </row>
    <row r="30" spans="2:14" ht="43.5" hidden="1" customHeight="1" x14ac:dyDescent="0.3">
      <c r="B30">
        <f t="shared" si="0"/>
        <v>27</v>
      </c>
      <c r="C30" t="s">
        <v>121</v>
      </c>
      <c r="D30">
        <v>1</v>
      </c>
      <c r="E30">
        <v>2017</v>
      </c>
      <c r="F30" s="18">
        <v>60</v>
      </c>
      <c r="G30" t="s">
        <v>122</v>
      </c>
      <c r="H30">
        <v>13</v>
      </c>
      <c r="I30" s="3" t="s">
        <v>9</v>
      </c>
      <c r="J30" s="10">
        <v>45168</v>
      </c>
      <c r="K30" s="10">
        <v>45170</v>
      </c>
      <c r="M30" s="17"/>
      <c r="N30" s="12">
        <f t="shared" si="1"/>
        <v>29</v>
      </c>
    </row>
    <row r="31" spans="2:14" ht="43.5" hidden="1" customHeight="1" x14ac:dyDescent="0.3">
      <c r="B31">
        <f t="shared" si="0"/>
        <v>28</v>
      </c>
      <c r="C31" t="s">
        <v>132</v>
      </c>
      <c r="D31">
        <v>2023</v>
      </c>
      <c r="E31">
        <v>2023</v>
      </c>
      <c r="F31" s="18">
        <v>70</v>
      </c>
      <c r="G31" t="s">
        <v>159</v>
      </c>
      <c r="H31">
        <v>8</v>
      </c>
      <c r="I31" s="3" t="s">
        <v>58</v>
      </c>
      <c r="J31" s="10">
        <v>45189</v>
      </c>
      <c r="K31" s="10">
        <v>45283</v>
      </c>
      <c r="M31" s="17"/>
      <c r="N31" s="12">
        <f t="shared" si="1"/>
        <v>30</v>
      </c>
    </row>
    <row r="32" spans="2:14" ht="43.5" hidden="1" customHeight="1" x14ac:dyDescent="0.3">
      <c r="B32">
        <f t="shared" si="0"/>
        <v>29</v>
      </c>
      <c r="C32" t="s">
        <v>123</v>
      </c>
      <c r="D32">
        <v>1</v>
      </c>
      <c r="E32">
        <v>2023</v>
      </c>
      <c r="F32" s="18">
        <v>80</v>
      </c>
      <c r="G32" t="s">
        <v>125</v>
      </c>
      <c r="H32">
        <v>8</v>
      </c>
      <c r="I32" s="3" t="s">
        <v>29</v>
      </c>
      <c r="J32" s="10">
        <v>45199</v>
      </c>
      <c r="K32" s="10">
        <v>45233</v>
      </c>
      <c r="M32" s="17"/>
      <c r="N32" s="12">
        <f t="shared" si="1"/>
        <v>31</v>
      </c>
    </row>
    <row r="33" spans="2:14" ht="43.5" hidden="1" customHeight="1" x14ac:dyDescent="0.3">
      <c r="B33">
        <f t="shared" si="0"/>
        <v>30</v>
      </c>
      <c r="C33" t="s">
        <v>131</v>
      </c>
      <c r="D33">
        <v>7</v>
      </c>
      <c r="E33">
        <v>2023</v>
      </c>
      <c r="F33" s="18">
        <v>90</v>
      </c>
      <c r="G33" t="s">
        <v>120</v>
      </c>
      <c r="H33">
        <v>10</v>
      </c>
      <c r="I33" s="3" t="s">
        <v>19</v>
      </c>
      <c r="J33" s="10">
        <v>45216</v>
      </c>
      <c r="K33" s="10">
        <v>45279</v>
      </c>
      <c r="M33" s="17"/>
      <c r="N33" s="12">
        <f t="shared" si="1"/>
        <v>32</v>
      </c>
    </row>
    <row r="34" spans="2:14" ht="43.5" hidden="1" customHeight="1" x14ac:dyDescent="0.3">
      <c r="B34">
        <f t="shared" si="0"/>
        <v>31</v>
      </c>
      <c r="C34" t="s">
        <v>133</v>
      </c>
      <c r="D34">
        <v>2</v>
      </c>
      <c r="E34">
        <v>2023</v>
      </c>
      <c r="F34" s="18">
        <v>80</v>
      </c>
      <c r="G34" t="s">
        <v>50</v>
      </c>
      <c r="H34">
        <v>8</v>
      </c>
      <c r="I34" s="3" t="s">
        <v>29</v>
      </c>
      <c r="J34" s="10">
        <v>45234</v>
      </c>
      <c r="K34" s="10">
        <v>45388</v>
      </c>
      <c r="M34" s="17"/>
      <c r="N34" s="12">
        <f t="shared" si="1"/>
        <v>33</v>
      </c>
    </row>
    <row r="35" spans="2:14" ht="43.5" hidden="1" customHeight="1" x14ac:dyDescent="0.3">
      <c r="B35">
        <f t="shared" si="0"/>
        <v>32</v>
      </c>
      <c r="C35" t="s">
        <v>136</v>
      </c>
      <c r="D35">
        <v>1</v>
      </c>
      <c r="E35">
        <v>2002</v>
      </c>
      <c r="F35" s="18">
        <v>85</v>
      </c>
      <c r="G35" t="s">
        <v>89</v>
      </c>
      <c r="H35">
        <v>13</v>
      </c>
      <c r="I35" s="3" t="s">
        <v>19</v>
      </c>
      <c r="J35" s="10">
        <v>45249</v>
      </c>
      <c r="K35" s="10">
        <v>45313</v>
      </c>
      <c r="M35" s="17"/>
      <c r="N35" s="12">
        <f t="shared" si="1"/>
        <v>34</v>
      </c>
    </row>
    <row r="36" spans="2:14" ht="43.5" hidden="1" customHeight="1" x14ac:dyDescent="0.3">
      <c r="B36">
        <f t="shared" si="0"/>
        <v>33</v>
      </c>
      <c r="C36" t="s">
        <v>139</v>
      </c>
      <c r="D36">
        <v>1</v>
      </c>
      <c r="E36">
        <v>2023</v>
      </c>
      <c r="F36" s="18">
        <v>75</v>
      </c>
      <c r="G36" t="s">
        <v>144</v>
      </c>
      <c r="H36">
        <v>4</v>
      </c>
      <c r="I36" s="3" t="s">
        <v>24</v>
      </c>
      <c r="J36" s="10">
        <v>45253</v>
      </c>
      <c r="K36" s="10">
        <v>45265</v>
      </c>
      <c r="M36" s="17"/>
      <c r="N36" s="12">
        <f t="shared" si="1"/>
        <v>35</v>
      </c>
    </row>
    <row r="37" spans="2:14" ht="43.5" hidden="1" customHeight="1" x14ac:dyDescent="0.3">
      <c r="B37">
        <f t="shared" si="0"/>
        <v>34</v>
      </c>
      <c r="C37" t="s">
        <v>160</v>
      </c>
      <c r="D37">
        <v>1</v>
      </c>
      <c r="E37">
        <v>2023</v>
      </c>
      <c r="F37" s="18">
        <v>70</v>
      </c>
      <c r="G37" t="s">
        <v>144</v>
      </c>
      <c r="H37">
        <v>6</v>
      </c>
      <c r="I37" s="3" t="s">
        <v>9</v>
      </c>
      <c r="J37" s="10">
        <v>45290</v>
      </c>
      <c r="K37" s="10">
        <v>45291</v>
      </c>
      <c r="M37" s="17"/>
      <c r="N37" s="12">
        <f t="shared" si="1"/>
        <v>36</v>
      </c>
    </row>
    <row r="38" spans="2:14" ht="43.5" hidden="1" customHeight="1" x14ac:dyDescent="0.3">
      <c r="B38" s="22">
        <f t="shared" si="0"/>
        <v>1</v>
      </c>
      <c r="C38" t="s">
        <v>48</v>
      </c>
      <c r="D38">
        <v>2024</v>
      </c>
      <c r="E38">
        <v>2024</v>
      </c>
      <c r="F38" s="18">
        <v>65</v>
      </c>
      <c r="G38" t="s">
        <v>38</v>
      </c>
      <c r="H38">
        <v>10</v>
      </c>
      <c r="I38" s="3" t="s">
        <v>59</v>
      </c>
      <c r="J38" s="10">
        <v>45297</v>
      </c>
      <c r="K38" s="10">
        <v>45360</v>
      </c>
      <c r="M38" s="17"/>
      <c r="N38" s="25">
        <f t="shared" si="1"/>
        <v>37</v>
      </c>
    </row>
    <row r="39" spans="2:14" ht="43.5" hidden="1" customHeight="1" x14ac:dyDescent="0.3">
      <c r="B39" s="22">
        <f t="shared" si="0"/>
        <v>2</v>
      </c>
      <c r="C39" t="s">
        <v>172</v>
      </c>
      <c r="D39">
        <v>4</v>
      </c>
      <c r="E39">
        <v>2024</v>
      </c>
      <c r="F39" s="18"/>
      <c r="G39" t="s">
        <v>107</v>
      </c>
      <c r="H39">
        <v>6</v>
      </c>
      <c r="I39" s="3" t="s">
        <v>19</v>
      </c>
      <c r="J39" s="10">
        <v>45306</v>
      </c>
      <c r="K39" s="10" t="s">
        <v>44</v>
      </c>
      <c r="M39" s="26" t="s">
        <v>207</v>
      </c>
      <c r="N39" s="25">
        <f t="shared" si="1"/>
        <v>38</v>
      </c>
    </row>
    <row r="40" spans="2:14" ht="43.5" hidden="1" customHeight="1" x14ac:dyDescent="0.3">
      <c r="B40" s="22">
        <f t="shared" si="0"/>
        <v>3</v>
      </c>
      <c r="C40" t="s">
        <v>173</v>
      </c>
      <c r="D40">
        <v>1</v>
      </c>
      <c r="E40">
        <v>2024</v>
      </c>
      <c r="F40" s="18">
        <v>70</v>
      </c>
      <c r="G40" t="s">
        <v>174</v>
      </c>
      <c r="H40">
        <v>7</v>
      </c>
      <c r="I40" s="3" t="s">
        <v>39</v>
      </c>
      <c r="J40" s="10">
        <v>45307</v>
      </c>
      <c r="K40" s="10">
        <v>45314</v>
      </c>
      <c r="M40" s="17"/>
      <c r="N40" s="25">
        <f t="shared" si="1"/>
        <v>39</v>
      </c>
    </row>
    <row r="41" spans="2:14" ht="43.5" hidden="1" customHeight="1" x14ac:dyDescent="0.3">
      <c r="B41" s="22">
        <v>3</v>
      </c>
      <c r="C41" t="s">
        <v>186</v>
      </c>
      <c r="D41">
        <v>1</v>
      </c>
      <c r="E41">
        <v>2022</v>
      </c>
      <c r="F41" s="18">
        <v>80</v>
      </c>
      <c r="G41" t="s">
        <v>187</v>
      </c>
      <c r="H41">
        <v>6</v>
      </c>
      <c r="I41" s="3" t="s">
        <v>39</v>
      </c>
      <c r="J41" s="10">
        <v>45320</v>
      </c>
      <c r="K41" s="10">
        <v>45324</v>
      </c>
      <c r="M41" s="26"/>
      <c r="N41" s="25"/>
    </row>
    <row r="42" spans="2:14" ht="43.5" hidden="1" customHeight="1" x14ac:dyDescent="0.3">
      <c r="B42" s="22">
        <f t="shared" ref="B42:B46" si="2">IF(ROW()=2, 1, IF(YEAR(J42) = YEAR(J41), B41+1, 1))</f>
        <v>4</v>
      </c>
      <c r="C42" t="s">
        <v>186</v>
      </c>
      <c r="D42">
        <v>2</v>
      </c>
      <c r="E42">
        <v>2022</v>
      </c>
      <c r="F42" s="18">
        <v>80</v>
      </c>
      <c r="G42" t="s">
        <v>187</v>
      </c>
      <c r="H42">
        <v>6</v>
      </c>
      <c r="I42" s="3" t="s">
        <v>39</v>
      </c>
      <c r="J42" s="10">
        <v>45329</v>
      </c>
      <c r="K42" s="10">
        <v>45355</v>
      </c>
      <c r="M42" s="26"/>
      <c r="N42" s="25">
        <f t="shared" ref="N42:N47" si="3">ROW(N42) - 1</f>
        <v>41</v>
      </c>
    </row>
    <row r="43" spans="2:14" ht="43.5" customHeight="1" x14ac:dyDescent="0.3">
      <c r="B43" s="22">
        <f t="shared" si="2"/>
        <v>5</v>
      </c>
      <c r="C43" t="s">
        <v>195</v>
      </c>
      <c r="D43">
        <v>1</v>
      </c>
      <c r="E43">
        <v>2003</v>
      </c>
      <c r="F43" s="18"/>
      <c r="G43" t="s">
        <v>174</v>
      </c>
      <c r="H43">
        <v>22</v>
      </c>
      <c r="I43" s="3" t="s">
        <v>9</v>
      </c>
      <c r="J43" s="10">
        <v>45329</v>
      </c>
      <c r="M43" s="26"/>
      <c r="N43" s="25">
        <f t="shared" si="3"/>
        <v>42</v>
      </c>
    </row>
    <row r="44" spans="2:14" ht="43.5" customHeight="1" x14ac:dyDescent="0.3">
      <c r="B44" s="22">
        <f t="shared" si="2"/>
        <v>6</v>
      </c>
      <c r="C44" t="s">
        <v>60</v>
      </c>
      <c r="D44">
        <v>6</v>
      </c>
      <c r="E44">
        <v>2024</v>
      </c>
      <c r="F44" s="18"/>
      <c r="G44" t="s">
        <v>61</v>
      </c>
      <c r="H44">
        <v>10</v>
      </c>
      <c r="I44" s="3" t="s">
        <v>9</v>
      </c>
      <c r="J44" s="10">
        <v>45345</v>
      </c>
      <c r="M44" s="26"/>
      <c r="N44" s="25">
        <f t="shared" si="3"/>
        <v>43</v>
      </c>
    </row>
    <row r="45" spans="2:14" ht="43.5" hidden="1" customHeight="1" x14ac:dyDescent="0.3">
      <c r="B45" s="22">
        <f t="shared" si="2"/>
        <v>7</v>
      </c>
      <c r="C45" s="4" t="s">
        <v>202</v>
      </c>
      <c r="D45">
        <v>1</v>
      </c>
      <c r="E45">
        <v>2024</v>
      </c>
      <c r="F45" s="18">
        <v>80</v>
      </c>
      <c r="G45" t="s">
        <v>177</v>
      </c>
      <c r="H45">
        <v>10</v>
      </c>
      <c r="I45" s="3" t="s">
        <v>24</v>
      </c>
      <c r="J45" s="10">
        <v>45356</v>
      </c>
      <c r="K45" s="10">
        <v>45438</v>
      </c>
      <c r="M45" s="26"/>
      <c r="N45" s="25">
        <f t="shared" si="3"/>
        <v>44</v>
      </c>
    </row>
    <row r="46" spans="2:14" ht="43.5" hidden="1" customHeight="1" x14ac:dyDescent="0.3">
      <c r="B46" s="22">
        <f t="shared" si="2"/>
        <v>8</v>
      </c>
      <c r="C46" s="4" t="s">
        <v>66</v>
      </c>
      <c r="D46">
        <v>12</v>
      </c>
      <c r="E46">
        <v>2024</v>
      </c>
      <c r="F46" s="18">
        <v>85</v>
      </c>
      <c r="G46" t="s">
        <v>38</v>
      </c>
      <c r="H46">
        <v>9</v>
      </c>
      <c r="I46" s="3" t="s">
        <v>39</v>
      </c>
      <c r="J46" s="10">
        <v>45380</v>
      </c>
      <c r="K46" s="10">
        <v>45432</v>
      </c>
      <c r="M46" s="26"/>
      <c r="N46" s="25">
        <f t="shared" si="3"/>
        <v>45</v>
      </c>
    </row>
    <row r="47" spans="2:14" ht="43.5" hidden="1" customHeight="1" x14ac:dyDescent="0.3">
      <c r="B47" s="22">
        <f>IF(ROW()=2, 1, IF(YEAR(J47) = YEAR(J46), B46+1, 1))</f>
        <v>9</v>
      </c>
      <c r="C47" s="4" t="s">
        <v>213</v>
      </c>
      <c r="D47">
        <v>1</v>
      </c>
      <c r="E47">
        <v>2023</v>
      </c>
      <c r="F47" s="18">
        <v>70</v>
      </c>
      <c r="G47" t="s">
        <v>214</v>
      </c>
      <c r="H47">
        <v>13</v>
      </c>
      <c r="I47" s="3" t="s">
        <v>24</v>
      </c>
      <c r="J47" s="10">
        <v>45322</v>
      </c>
      <c r="K47" s="10">
        <v>45403</v>
      </c>
      <c r="M47" s="26"/>
      <c r="N47" s="25">
        <f t="shared" si="3"/>
        <v>46</v>
      </c>
    </row>
    <row r="48" spans="2:14" ht="43.5" hidden="1" customHeight="1" x14ac:dyDescent="0.3">
      <c r="B48" s="22">
        <f>IF(ROW()=2, 1, IF(YEAR(J48) = YEAR(J47), B47+1, 1))</f>
        <v>10</v>
      </c>
      <c r="C48" s="4" t="s">
        <v>215</v>
      </c>
      <c r="D48">
        <v>1</v>
      </c>
      <c r="E48">
        <v>2024</v>
      </c>
      <c r="F48" s="18">
        <v>90</v>
      </c>
      <c r="G48" t="s">
        <v>117</v>
      </c>
      <c r="H48">
        <v>8</v>
      </c>
      <c r="I48" s="3" t="s">
        <v>29</v>
      </c>
      <c r="J48" s="10">
        <v>45393</v>
      </c>
      <c r="K48" s="10">
        <v>45408</v>
      </c>
      <c r="M48" s="26"/>
      <c r="N48" s="25">
        <f>ROW(N48) - 1</f>
        <v>47</v>
      </c>
    </row>
    <row r="49" spans="2:14" ht="43.5" hidden="1" customHeight="1" x14ac:dyDescent="0.3">
      <c r="B49" s="22">
        <f>IF(ROW()=2, 1, IF(YEAR(J49) = YEAR(J48), B48+1, 1))</f>
        <v>11</v>
      </c>
      <c r="C49" s="4" t="s">
        <v>66</v>
      </c>
      <c r="D49">
        <v>8</v>
      </c>
      <c r="E49">
        <v>2020</v>
      </c>
      <c r="F49" s="18">
        <v>85</v>
      </c>
      <c r="G49" t="s">
        <v>38</v>
      </c>
      <c r="H49">
        <v>9</v>
      </c>
      <c r="I49" s="3" t="s">
        <v>39</v>
      </c>
      <c r="J49" s="10">
        <v>45403</v>
      </c>
      <c r="K49" s="10">
        <v>45435</v>
      </c>
      <c r="M49" s="26"/>
      <c r="N49" s="25">
        <f>ROW(N49) - 1</f>
        <v>48</v>
      </c>
    </row>
    <row r="50" spans="2:14" ht="43.5" hidden="1" customHeight="1" x14ac:dyDescent="0.3">
      <c r="B50" s="22">
        <f>IF(ROW()=2, 1, IF(YEAR(J50) = YEAR(J49), B49+1, 1))</f>
        <v>12</v>
      </c>
      <c r="C50" s="4" t="s">
        <v>66</v>
      </c>
      <c r="D50">
        <v>9</v>
      </c>
      <c r="E50">
        <v>2021</v>
      </c>
      <c r="F50" s="18">
        <v>80</v>
      </c>
      <c r="G50" t="s">
        <v>38</v>
      </c>
      <c r="H50">
        <v>9</v>
      </c>
      <c r="I50" s="3" t="s">
        <v>39</v>
      </c>
      <c r="J50" s="10">
        <v>45435</v>
      </c>
      <c r="K50" s="10">
        <v>45440</v>
      </c>
      <c r="M50" s="26"/>
      <c r="N50" s="25">
        <f>ROW(N50) - 1</f>
        <v>49</v>
      </c>
    </row>
    <row r="51" spans="2:14" ht="43.5" customHeight="1" x14ac:dyDescent="0.3">
      <c r="B51" s="4" t="s">
        <v>8</v>
      </c>
      <c r="C51" s="4">
        <f>SUBTOTAL(103,MovieList14[TITLE])</f>
        <v>2</v>
      </c>
      <c r="D51" s="4"/>
      <c r="E51" s="4"/>
      <c r="F51" s="21"/>
      <c r="G51" s="4"/>
      <c r="H51" s="4"/>
      <c r="I51" s="4"/>
      <c r="J51" s="11"/>
      <c r="K51" s="11"/>
      <c r="L51" s="4"/>
    </row>
    <row r="52" spans="2:14" ht="43.5" customHeight="1" x14ac:dyDescent="0.3">
      <c r="B52" s="4"/>
      <c r="C52" s="4"/>
      <c r="D52" s="4"/>
      <c r="E52" s="4"/>
      <c r="F52" s="21"/>
      <c r="G52" s="4"/>
      <c r="H52" s="4"/>
      <c r="I52" s="4"/>
      <c r="J52" s="11"/>
      <c r="K52" s="11"/>
      <c r="L52" s="4"/>
    </row>
    <row r="53" spans="2:14" ht="43.5" customHeight="1" x14ac:dyDescent="0.3">
      <c r="B53" s="4"/>
      <c r="C53" s="4" t="s">
        <v>211</v>
      </c>
      <c r="D53" s="4" t="s">
        <v>212</v>
      </c>
      <c r="H53" s="4"/>
      <c r="I53" s="4"/>
      <c r="J53" s="11"/>
      <c r="K53" s="11"/>
      <c r="L53" s="4"/>
    </row>
    <row r="54" spans="2:14" ht="43.5" customHeight="1" x14ac:dyDescent="0.3">
      <c r="B54" s="13"/>
      <c r="E54" s="4"/>
      <c r="F54"/>
      <c r="H54" s="18"/>
    </row>
    <row r="55" spans="2:14" ht="43.5" customHeight="1" x14ac:dyDescent="0.3">
      <c r="I55" s="10"/>
    </row>
    <row r="56" spans="2:14" ht="43.5" customHeight="1" x14ac:dyDescent="0.3">
      <c r="I56" s="10"/>
    </row>
    <row r="57" spans="2:14" ht="43.5" customHeight="1" x14ac:dyDescent="0.3">
      <c r="B57" s="4"/>
      <c r="C57" s="4"/>
      <c r="D57" s="4"/>
      <c r="E57" s="4"/>
      <c r="F57" s="21"/>
      <c r="G57" s="4"/>
      <c r="H57" s="4"/>
      <c r="I57" s="10"/>
      <c r="J57" s="11"/>
      <c r="K57" s="11"/>
      <c r="L57" s="4"/>
    </row>
    <row r="58" spans="2:14" ht="43.5" customHeight="1" x14ac:dyDescent="0.3">
      <c r="B58" s="4"/>
      <c r="C58" s="4"/>
      <c r="D58" s="4"/>
      <c r="E58" s="4"/>
      <c r="F58" s="21"/>
      <c r="G58" s="4"/>
      <c r="H58" s="4"/>
      <c r="I58" s="10"/>
      <c r="J58" s="11"/>
      <c r="K58" s="11"/>
      <c r="L58" s="4"/>
    </row>
    <row r="59" spans="2:14" ht="43.5" customHeight="1" x14ac:dyDescent="0.3">
      <c r="B59" s="4"/>
      <c r="C59" s="4"/>
      <c r="D59" s="4"/>
      <c r="E59" s="4"/>
      <c r="F59" s="21"/>
      <c r="G59" s="4"/>
      <c r="H59" s="4"/>
      <c r="I59" s="10"/>
      <c r="J59" s="11"/>
      <c r="K59" s="11"/>
      <c r="L59" s="4"/>
    </row>
    <row r="60" spans="2:14" ht="43.5" customHeight="1" x14ac:dyDescent="0.3">
      <c r="B60" s="4"/>
      <c r="C60" s="4"/>
      <c r="D60" s="4"/>
      <c r="E60" s="4"/>
      <c r="F60" s="21"/>
      <c r="G60" s="4"/>
      <c r="H60" s="4"/>
      <c r="I60" s="10"/>
      <c r="J60" s="11"/>
      <c r="K60" s="11"/>
      <c r="L60" s="4"/>
    </row>
    <row r="61" spans="2:14" ht="43.5" customHeight="1" x14ac:dyDescent="0.3">
      <c r="B61" s="4"/>
      <c r="C61" s="4"/>
      <c r="D61" s="4"/>
      <c r="E61" s="4"/>
      <c r="F61" s="21"/>
      <c r="G61" s="4"/>
      <c r="H61" s="4"/>
      <c r="I61" s="10"/>
      <c r="J61" s="11"/>
      <c r="K61" s="11"/>
      <c r="L61" s="4"/>
    </row>
    <row r="62" spans="2:14" ht="43.5" customHeight="1" x14ac:dyDescent="0.3">
      <c r="B62" s="4"/>
      <c r="C62" s="4"/>
      <c r="D62" s="4"/>
      <c r="E62" s="4"/>
      <c r="F62" s="21"/>
      <c r="G62" s="4"/>
      <c r="H62" s="4"/>
      <c r="I62" s="10"/>
      <c r="J62" s="11"/>
      <c r="K62" s="11"/>
      <c r="L62" s="4"/>
    </row>
    <row r="63" spans="2:14" ht="43.5" customHeight="1" x14ac:dyDescent="0.3">
      <c r="B63" s="4"/>
      <c r="C63" s="4"/>
      <c r="D63" s="4"/>
      <c r="E63" s="4"/>
      <c r="F63" s="21"/>
      <c r="G63" s="4"/>
      <c r="H63" s="4"/>
      <c r="I63" s="10"/>
      <c r="J63" s="11"/>
      <c r="K63" s="11"/>
      <c r="L63" s="4"/>
    </row>
    <row r="64" spans="2:14" ht="43.5" customHeight="1" x14ac:dyDescent="0.3">
      <c r="B64" s="4"/>
      <c r="C64" s="4"/>
      <c r="D64" s="4"/>
      <c r="E64" s="4"/>
      <c r="F64" s="21"/>
      <c r="G64" s="4"/>
      <c r="H64" s="4"/>
      <c r="I64" s="10"/>
      <c r="J64" s="11"/>
      <c r="K64" s="11"/>
      <c r="L64" s="4"/>
    </row>
    <row r="65" spans="2:12" ht="43.5" customHeight="1" x14ac:dyDescent="0.3">
      <c r="B65" s="4"/>
      <c r="C65" s="4"/>
      <c r="D65" s="4"/>
      <c r="E65" s="4"/>
      <c r="F65" s="21"/>
      <c r="G65" s="4"/>
      <c r="H65" s="4"/>
      <c r="I65" s="10"/>
      <c r="J65" s="11"/>
      <c r="K65" s="11"/>
      <c r="L65" s="4"/>
    </row>
    <row r="66" spans="2:12" ht="43.5" customHeight="1" x14ac:dyDescent="0.3">
      <c r="B66" s="4"/>
      <c r="C66" s="4"/>
      <c r="D66" s="4"/>
      <c r="E66" s="4"/>
      <c r="F66" s="21"/>
      <c r="G66" s="4"/>
      <c r="H66" s="4"/>
      <c r="I66" s="10"/>
      <c r="J66" s="11"/>
      <c r="K66" s="11"/>
      <c r="L66" s="4"/>
    </row>
    <row r="67" spans="2:12" ht="43.5" customHeight="1" x14ac:dyDescent="0.3">
      <c r="B67" s="4"/>
      <c r="C67" s="4"/>
      <c r="D67" s="4"/>
      <c r="E67" s="4"/>
      <c r="F67" s="21"/>
      <c r="G67" s="4"/>
      <c r="H67" s="4"/>
      <c r="I67" s="10"/>
      <c r="J67" s="11"/>
      <c r="K67" s="11"/>
      <c r="L67" s="4"/>
    </row>
    <row r="68" spans="2:12" ht="43.5" customHeight="1" x14ac:dyDescent="0.3">
      <c r="B68" s="4"/>
      <c r="C68" s="4"/>
      <c r="D68" s="4"/>
      <c r="E68" s="4"/>
      <c r="F68" s="21"/>
      <c r="G68" s="4"/>
      <c r="H68" s="4"/>
      <c r="I68" s="10"/>
      <c r="J68" s="11"/>
      <c r="K68" s="11"/>
      <c r="L68" s="4"/>
    </row>
    <row r="69" spans="2:12" ht="43.5" customHeight="1" x14ac:dyDescent="0.3">
      <c r="B69" s="4"/>
      <c r="C69" s="4"/>
      <c r="D69" s="4"/>
      <c r="E69" s="4"/>
      <c r="F69" s="21"/>
      <c r="G69" s="4"/>
      <c r="H69" s="4"/>
      <c r="I69" s="10"/>
      <c r="J69" s="11"/>
      <c r="K69" s="11"/>
      <c r="L69" s="4"/>
    </row>
    <row r="70" spans="2:12" ht="43.5" customHeight="1" x14ac:dyDescent="0.3">
      <c r="I70" s="10"/>
    </row>
    <row r="71" spans="2:12" ht="43.5" customHeight="1" x14ac:dyDescent="0.3">
      <c r="I71" s="10"/>
    </row>
    <row r="72" spans="2:12" ht="43.5" customHeight="1" x14ac:dyDescent="0.3">
      <c r="I72" s="10"/>
    </row>
    <row r="73" spans="2:12" ht="43.5" customHeight="1" x14ac:dyDescent="0.3">
      <c r="I73" s="10"/>
    </row>
    <row r="74" spans="2:12" ht="43.5" customHeight="1" x14ac:dyDescent="0.3">
      <c r="I74" s="10"/>
    </row>
    <row r="75" spans="2:12" ht="43.5" customHeight="1" x14ac:dyDescent="0.3">
      <c r="I75" s="10"/>
    </row>
    <row r="76" spans="2:12" ht="43.5" customHeight="1" x14ac:dyDescent="0.3">
      <c r="I76" s="10"/>
    </row>
    <row r="77" spans="2:12" ht="43.5" customHeight="1" x14ac:dyDescent="0.3">
      <c r="I77" s="10"/>
    </row>
    <row r="78" spans="2:12" ht="43.5" customHeight="1" x14ac:dyDescent="0.3">
      <c r="I78" s="10"/>
    </row>
  </sheetData>
  <dataValidations count="2">
    <dataValidation type="list" allowBlank="1" showInputMessage="1" sqref="L54:L71 L2:L50" xr:uid="{5E31CC27-CAB7-4FAE-80B4-BF2D71BEFA2B}">
      <formula1>"X,"</formula1>
    </dataValidation>
    <dataValidation type="list" allowBlank="1" showInputMessage="1" sqref="I2:I50" xr:uid="{7CB3DE62-15A7-4DF8-9350-27D2FF01AE6D}">
      <formula1>"Netflix,Prime,Disney+,HBO,Online,Bioscoop,TV,NPOstart"</formula1>
    </dataValidation>
  </dataValidations>
  <hyperlinks>
    <hyperlink ref="M25" r:id="rId1" xr:uid="{0821889D-5BA3-42A8-BC9A-5A607DC81DF7}"/>
    <hyperlink ref="M26" r:id="rId2" xr:uid="{354E4284-3AE3-45EE-86D9-C244E92B91B2}"/>
    <hyperlink ref="M27" r:id="rId3" xr:uid="{EF77FD5F-D86C-4EE8-A149-4A59CFB8A8E6}"/>
  </hyperlinks>
  <printOptions horizontalCentered="1"/>
  <pageMargins left="0.25" right="0.25" top="0.5" bottom="0.75" header="0.55000000000000004" footer="0.55000000000000004"/>
  <pageSetup scale="52" fitToHeight="0" orientation="landscape" r:id="rId4"/>
  <headerFooter differentFirst="1">
    <oddFooter>&amp;C&amp;K01+000Page &amp;P of &amp;N</oddFooter>
  </headerFooter>
  <ignoredErrors>
    <ignoredError sqref="B41" calculatedColumn="1"/>
  </ignoredErrors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1E2DAD-44B8-4E7D-8DC2-0F93978623A8}">
  <ds:schemaRefs>
    <ds:schemaRef ds:uri="http://schemas.microsoft.com/sharepoint/v3"/>
    <ds:schemaRef ds:uri="http://purl.org/dc/dcmitype/"/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71af3243-3dd4-4a8d-8c0d-dd76da1f02a5"/>
    <ds:schemaRef ds:uri="http://schemas.microsoft.com/office/infopath/2007/PartnerControls"/>
    <ds:schemaRef ds:uri="16c05727-aa75-4e4a-9b5f-8a80a1165891"/>
    <ds:schemaRef ds:uri="http://schemas.openxmlformats.org/package/2006/metadata/core-properties"/>
    <ds:schemaRef ds:uri="230e9df3-be65-4c73-a93b-d1236ebd677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C8F7633-2B5D-4BCA-BB1C-50E6977C5A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76468D-F960-47C0-ACEA-8EEBE76230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TM02802354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 List</vt:lpstr>
      <vt:lpstr>Tv_show_List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2022-06-14T04:31:46Z</dcterms:created>
  <dcterms:modified xsi:type="dcterms:W3CDTF">2024-05-31T10:25:36Z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